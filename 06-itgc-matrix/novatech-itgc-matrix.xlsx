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- Structure" sheetId="1" state="visible" r:id="rId3"/>
    <sheet name="Control Domains" sheetId="2" state="visible" r:id="rId4"/>
    <sheet name="Test Method Legend" sheetId="3" state="visible" r:id="rId5"/>
    <sheet name="ITGC Matrix" sheetId="4" state="visible" r:id="rId6"/>
    <sheet name="Coverag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<sst xmlns="http://schemas.openxmlformats.org/spreadsheetml/2006/main" count="261" uniqueCount="181">
  <si>
    <t xml:space="preserve">NOVAtech Inc. - IT General Controls (ITGC) Matrix</t>
  </si>
  <si>
    <t xml:space="preserve">GRC Practicum - Project 6 | 12 controls across the four classic ITGC domains | Simulated for demonstration.</t>
  </si>
  <si>
    <t xml:space="preserve">WHY ITGC MATTERS</t>
  </si>
  <si>
    <t xml:space="preserve">IT General Controls (ITGC) are the controls auditors test first, whether the engagement is SOC 2, ISO 27001, or SOX-adjacent financial audit. They govern who can access systems, how changes are made, how systems are built, and how they operate day-to-day. If ITGC is weak, application controls above it cannot be relied upon. This makes ITGC fluency the single highest-return topic for any audit-adjacent role.</t>
  </si>
  <si>
    <t xml:space="preserve">HOW THIS WORKBOOK IS STRUCTURED</t>
  </si>
  <si>
    <t xml:space="preserve">Tab: Control Domains</t>
  </si>
  <si>
    <t xml:space="preserve">The four classic ITGC domains explained: what each covers, why auditors care, and what typically fails.</t>
  </si>
  <si>
    <t xml:space="preserve">Tab: Test Method Legend</t>
  </si>
  <si>
    <t xml:space="preserve">Definitions of control types (preventive/detective/corrective), frequency, automated vs. manual, and the four testing procedures auditors use.</t>
  </si>
  <si>
    <t xml:space="preserve">Tab: ITGC Matrix</t>
  </si>
  <si>
    <t xml:space="preserve">The 12-control matrix. One row per control with description, frequency, owner, type, test procedure, and evidence requirements.</t>
  </si>
  <si>
    <t xml:space="preserve">Tab: Coverage Summary</t>
  </si>
  <si>
    <t xml:space="preserve">Formula-driven counts by domain and control type. Leadership snapshot.</t>
  </si>
  <si>
    <t xml:space="preserve">COLUMN ANATOMY</t>
  </si>
  <si>
    <t xml:space="preserve">What job each matrix column does:</t>
  </si>
  <si>
    <t xml:space="preserve">Control ID</t>
  </si>
  <si>
    <t xml:space="preserve">Stable reference (AC-01, CM-01, etc.). Auditors cite these in findings.</t>
  </si>
  <si>
    <t xml:space="preserve">Domain</t>
  </si>
  <si>
    <t xml:space="preserve">Access / Change Management / Program Development / Operations. Every ITGC belongs to exactly one.</t>
  </si>
  <si>
    <t xml:space="preserve">Control Description</t>
  </si>
  <si>
    <t xml:space="preserve">What the control does. Should describe behavior, not tooling ('Access requires manager approval' not 'Uses Okta workflows').</t>
  </si>
  <si>
    <t xml:space="preserve">Frequency</t>
  </si>
  <si>
    <t xml:space="preserve">How often the control operates. Continuous, per-event, daily, quarterly, etc.</t>
  </si>
  <si>
    <t xml:space="preserve">Owner</t>
  </si>
  <si>
    <t xml:space="preserve">Named role accountable for the control. Ownership is what makes controls survive personnel change.</t>
  </si>
  <si>
    <t xml:space="preserve">Type</t>
  </si>
  <si>
    <t xml:space="preserve">Preventive (stops the event), Detective (identifies the event), Corrective (recovers from the event). A mature program has all three.</t>
  </si>
  <si>
    <t xml:space="preserve">Automated / Manual</t>
  </si>
  <si>
    <t xml:space="preserve">Automated controls scale and don't forget; manual controls require training and evidence discipline. Both are legitimate.</t>
  </si>
  <si>
    <t xml:space="preserve">Test Procedure</t>
  </si>
  <si>
    <t xml:space="preserve">How the control's effectiveness is verified. This column is what turns a control into an auditable one.</t>
  </si>
  <si>
    <t xml:space="preserve">Sample Size</t>
  </si>
  <si>
    <t xml:space="preserve">How many instances to test for a periodic control. Standards exist (25 for high-frequency controls is a common baseline).</t>
  </si>
  <si>
    <t xml:space="preserve">Evidence Required</t>
  </si>
  <si>
    <t xml:space="preserve">What documents/records/screenshots prove the control operated as designed.</t>
  </si>
  <si>
    <t xml:space="preserve">HOW TESTS WORK - THE FOUR METHODS</t>
  </si>
  <si>
    <t xml:space="preserve">Auditors apply these in order of strength (weakest to strongest):</t>
  </si>
  <si>
    <t xml:space="preserve">Inquiry</t>
  </si>
  <si>
    <t xml:space="preserve">Ask the control operator how it works. Weakest evidence; only used as a starting point.</t>
  </si>
  <si>
    <t xml:space="preserve">Observation</t>
  </si>
  <si>
    <t xml:space="preserve">Watch the control being performed. Better than inquiry but subject to observer effect.</t>
  </si>
  <si>
    <t xml:space="preserve">Inspection</t>
  </si>
  <si>
    <t xml:space="preserve">Examine records and documents that the control produced. The most common method.</t>
  </si>
  <si>
    <t xml:space="preserve">Reperformance</t>
  </si>
  <si>
    <t xml:space="preserve">Independently execute the control and confirm the same outcome. Strongest evidence; used for high-risk controls.</t>
  </si>
  <si>
    <t xml:space="preserve">The Four Classic ITGC Domains</t>
  </si>
  <si>
    <t xml:space="preserve">Every IT General Control belongs to one of these four domains.</t>
  </si>
  <si>
    <t xml:space="preserve">What it covers</t>
  </si>
  <si>
    <t xml:space="preserve">Why auditors care</t>
  </si>
  <si>
    <t xml:space="preserve">What typically fails</t>
  </si>
  <si>
    <t xml:space="preserve">Access to Programs &amp; Data</t>
  </si>
  <si>
    <t xml:space="preserve">User provisioning, authentication (MFA, passwords), authorization (roles, least privilege), access reviews, deprovisioning, privileged access management.</t>
  </si>
  <si>
    <t xml:space="preserve">If unauthorized users can reach data, no other control matters. Access is the foundation.</t>
  </si>
  <si>
    <t xml:space="preserve">Deprovisioning delays, missing access reviews, over-permissioned service accounts, shared credentials.</t>
  </si>
  <si>
    <t xml:space="preserve">Change Management</t>
  </si>
  <si>
    <t xml:space="preserve">Authorization, testing, and deployment of changes to production systems. Segregation between development and production. Emergency change process.</t>
  </si>
  <si>
    <t xml:space="preserve">Uncontrolled change causes both outages and undetected security regressions. Auditors want evidence every change was reviewed and approved.</t>
  </si>
  <si>
    <t xml:space="preserve">Emergency changes without follow-up, direct-to-production hotfixes, missing peer review, developers with production write access.</t>
  </si>
  <si>
    <t xml:space="preserve">Program Development</t>
  </si>
  <si>
    <t xml:space="preserve">Controls over new system development: requirements, design review, security-in-SDLC, pre-release testing, security scanning, deployment gates.</t>
  </si>
  <si>
    <t xml:space="preserve">New systems inherit gaps from build-time; catching them then is cheaper and safer than catching them later.</t>
  </si>
  <si>
    <t xml:space="preserve">Security requirements skipped, SAST/DAST gates disabled, dependency vulnerabilities unmanaged.</t>
  </si>
  <si>
    <t xml:space="preserve">Computer Operations</t>
  </si>
  <si>
    <t xml:space="preserve">Backup and restore, monitoring, incident management, job scheduling, capacity management, batch processing integrity.</t>
  </si>
  <si>
    <t xml:space="preserve">The 'keep the lights on' controls. Operational failures are often what auditors observe first in Stage 2.</t>
  </si>
  <si>
    <t xml:space="preserve">Untested backups, alert fatigue, missing on-call coverage, unmonitored batch job failures.</t>
  </si>
  <si>
    <t xml:space="preserve">Testing Legend</t>
  </si>
  <si>
    <t xml:space="preserve">Control Type</t>
  </si>
  <si>
    <t xml:space="preserve">Timing</t>
  </si>
  <si>
    <t xml:space="preserve">What it does</t>
  </si>
  <si>
    <t xml:space="preserve">Preventive</t>
  </si>
  <si>
    <t xml:space="preserve">Before the event</t>
  </si>
  <si>
    <t xml:space="preserve">Stops the unwanted event from happening (MFA blocks credential-only login, PR review blocks bad code).</t>
  </si>
  <si>
    <t xml:space="preserve">Detective</t>
  </si>
  <si>
    <t xml:space="preserve">During or after</t>
  </si>
  <si>
    <t xml:space="preserve">Identifies that the event happened so response can occur (SIEM alert, log review, dormant-account report).</t>
  </si>
  <si>
    <t xml:space="preserve">Corrective</t>
  </si>
  <si>
    <t xml:space="preserve">After the event</t>
  </si>
  <si>
    <t xml:space="preserve">Restores state after an event (backup restore, account re-provisioning, rollback).</t>
  </si>
  <si>
    <t xml:space="preserve">Testing Procedures (weakest to strongest)</t>
  </si>
  <si>
    <t xml:space="preserve">Procedure</t>
  </si>
  <si>
    <t xml:space="preserve">Strength</t>
  </si>
  <si>
    <t xml:space="preserve">Description</t>
  </si>
  <si>
    <t xml:space="preserve">Weakest</t>
  </si>
  <si>
    <t xml:space="preserve">Ask the control operator how it works. Never sufficient alone; corroboration required.</t>
  </si>
  <si>
    <t xml:space="preserve">Weak-Medium</t>
  </si>
  <si>
    <t xml:space="preserve">Watch the control being performed. Subject to observer effect - operator may act more diligently while watched.</t>
  </si>
  <si>
    <t xml:space="preserve">Medium-Strong</t>
  </si>
  <si>
    <t xml:space="preserve">Examine documents, records, screenshots, or logs the control produced. Most common testing method.</t>
  </si>
  <si>
    <t xml:space="preserve">Strongest</t>
  </si>
  <si>
    <t xml:space="preserve">Independently execute the control (e.g., attempt access with a deprovisioned account) and confirm the same outcome. Used for high-risk controls.</t>
  </si>
  <si>
    <t xml:space="preserve">Sample Size Guidance</t>
  </si>
  <si>
    <t xml:space="preserve">Continuous / automated controls</t>
  </si>
  <si>
    <t xml:space="preserve">1-5 per period</t>
  </si>
  <si>
    <t xml:space="preserve">Automation reduces sample needs; spot-check across the period</t>
  </si>
  <si>
    <t xml:space="preserve">High-frequency manual controls</t>
  </si>
  <si>
    <t xml:space="preserve">25 events</t>
  </si>
  <si>
    <t xml:space="preserve">Common baseline; e.g., '25 randomly-selected terminations in the audit period'</t>
  </si>
  <si>
    <t xml:space="preserve">Quarterly / periodic controls</t>
  </si>
  <si>
    <t xml:space="preserve">All instances</t>
  </si>
  <si>
    <t xml:space="preserve">Small population; test every occurrence in the audit period</t>
  </si>
  <si>
    <t xml:space="preserve">AC-01</t>
  </si>
  <si>
    <t xml:space="preserve">New user access requires documented manager approval prior to provisioning; role assignments follow least privilege.</t>
  </si>
  <si>
    <t xml:space="preserve">Per event</t>
  </si>
  <si>
    <t xml:space="preserve">IT Manager</t>
  </si>
  <si>
    <t xml:space="preserve">Manual</t>
  </si>
  <si>
    <t xml:space="preserve">Select 25 users provisioned in the audit period; inspect each ticket for manager approval BEFORE the provisioning action; verify role matches approval.</t>
  </si>
  <si>
    <t xml:space="preserve">25</t>
  </si>
  <si>
    <t xml:space="preserve">Provisioning tickets with approval timestamps, HRIS linkage</t>
  </si>
  <si>
    <t xml:space="preserve">AC-02</t>
  </si>
  <si>
    <t xml:space="preserve">User access is deactivated within 1 business day of termination or role change.</t>
  </si>
  <si>
    <t xml:space="preserve">Semi-automated</t>
  </si>
  <si>
    <t xml:space="preserve">Select 25 terminations in the audit period; compare HRIS termination date to Okta deactivation timestamp; measure business-day interval; identify any exceptions.</t>
  </si>
  <si>
    <t xml:space="preserve">HRIS termination records, Okta audit log (disable event timestamps)</t>
  </si>
  <si>
    <t xml:space="preserve">AC-03</t>
  </si>
  <si>
    <t xml:space="preserve">Access to Critical systems is reviewed quarterly by system owners; inappropriate access is revoked and evidenced.</t>
  </si>
  <si>
    <t xml:space="preserve">Quarterly</t>
  </si>
  <si>
    <t xml:space="preserve">System owners</t>
  </si>
  <si>
    <t xml:space="preserve">Inspect all quarterly access review records for the audit period; verify reviewer identity, sign-off, and revocation follow-through for any flagged users.</t>
  </si>
  <si>
    <t xml:space="preserve">All quarters</t>
  </si>
  <si>
    <t xml:space="preserve">Signed review attestations, revocation tickets</t>
  </si>
  <si>
    <t xml:space="preserve">AC-04</t>
  </si>
  <si>
    <t xml:space="preserve">Privileged access (production infrastructure, IdP admin) is restricted to named individuals with MFA, and monitored.</t>
  </si>
  <si>
    <t xml:space="preserve">Continuous</t>
  </si>
  <si>
    <t xml:space="preserve">Automated</t>
  </si>
  <si>
    <t xml:space="preserve">Inspect Okta admin group membership vs. approved list; verify MFA policy enforcement; attempt privilege escalation from a standard account (reperformance).</t>
  </si>
  <si>
    <t xml:space="preserve">1</t>
  </si>
  <si>
    <t xml:space="preserve">Group membership export, MFA policy config, penetration test attempt</t>
  </si>
  <si>
    <t xml:space="preserve">CM-01</t>
  </si>
  <si>
    <t xml:space="preserve">All production code changes require peer-reviewed pull request (independent reviewer) prior to merge; direct pushes to protected branches are prohibited.</t>
  </si>
  <si>
    <t xml:space="preserve">Per change</t>
  </si>
  <si>
    <t xml:space="preserve">Eng Lead</t>
  </si>
  <si>
    <t xml:space="preserve">Select 25 merged production PRs; inspect for independent reviewer approval; attempt direct push to a protected branch (reperformance).</t>
  </si>
  <si>
    <t xml:space="preserve">GitHub PR history, branch protection settings</t>
  </si>
  <si>
    <t xml:space="preserve">CM-02</t>
  </si>
  <si>
    <t xml:space="preserve">High-risk changes (schema migrations, infrastructure, security-relevant) require CAB approval documented in the change ticket.</t>
  </si>
  <si>
    <t xml:space="preserve">CTO</t>
  </si>
  <si>
    <t xml:space="preserve">Identify all high-risk changes in the audit period via change tag; inspect CAB approval in each ticket; verify approval preceded execution.</t>
  </si>
  <si>
    <t xml:space="preserve">All high-risk</t>
  </si>
  <si>
    <t xml:space="preserve">Change tickets with CAB approval records, CAB meeting minutes</t>
  </si>
  <si>
    <t xml:space="preserve">CM-03</t>
  </si>
  <si>
    <t xml:space="preserve">Developers do not have write access to production infrastructure; production changes flow through CI/CD service accounts only.</t>
  </si>
  <si>
    <t xml:space="preserve">Inspect production IAM policies for any user-attached write permissions; attempt manual production change from a developer account (reperformance).</t>
  </si>
  <si>
    <t xml:space="preserve">AWS IAM policy export, deployment pipeline configuration</t>
  </si>
  <si>
    <t xml:space="preserve">PD-01</t>
  </si>
  <si>
    <t xml:space="preserve">Security requirements are documented and signed off for all new systems and material features before development starts.</t>
  </si>
  <si>
    <t xml:space="preserve">Per project</t>
  </si>
  <si>
    <t xml:space="preserve">Select 3 material projects in the audit period; inspect for security requirements artifact and sign-off record.</t>
  </si>
  <si>
    <t xml:space="preserve">3</t>
  </si>
  <si>
    <t xml:space="preserve">Design review documents, security requirements checklist</t>
  </si>
  <si>
    <t xml:space="preserve">PD-02</t>
  </si>
  <si>
    <t xml:space="preserve">Pre-release automated security scanning (SAST, dependency, secrets) is required to pass before merge to production.</t>
  </si>
  <si>
    <t xml:space="preserve">Per release</t>
  </si>
  <si>
    <t xml:space="preserve">Inspect CI/CD pipeline configuration for required scanning gates; sample 10 release runs and inspect scanning results and pass/fail state.</t>
  </si>
  <si>
    <t xml:space="preserve">10</t>
  </si>
  <si>
    <t xml:space="preserve">Pipeline YAML, scanning results, gate enforcement records</t>
  </si>
  <si>
    <t xml:space="preserve">OP-01</t>
  </si>
  <si>
    <t xml:space="preserve">Daily backups run successfully across production data stores; failures generate alerts within 4 hours.</t>
  </si>
  <si>
    <t xml:space="preserve">Daily</t>
  </si>
  <si>
    <t xml:space="preserve">Inspect backup job logs across 30 consecutive days; verify success or documented resolution of failures; test alert generation by simulating a failure.</t>
  </si>
  <si>
    <t xml:space="preserve">30 days</t>
  </si>
  <si>
    <t xml:space="preserve">Backup job logs, alert configuration, sample alert record</t>
  </si>
  <si>
    <t xml:space="preserve">OP-02</t>
  </si>
  <si>
    <t xml:space="preserve">Quarterly restore testing verifies backup recoverability; results documented with success criteria met or remediation plan.</t>
  </si>
  <si>
    <t xml:space="preserve">Inspect last 4 quarterly test records; verify success criteria, restore time achieved, and any remediation for failures.</t>
  </si>
  <si>
    <t xml:space="preserve">Test reports with pre-defined success criteria</t>
  </si>
  <si>
    <t xml:space="preserve">OP-03</t>
  </si>
  <si>
    <t xml:space="preserve">Security incidents are tracked in the ticketing system with severity classification, response actions, and post-incident review for Severity 1-2.</t>
  </si>
  <si>
    <t xml:space="preserve">Sec Ops</t>
  </si>
  <si>
    <t xml:space="preserve">Select 15 incidents from the audit period; verify severity assignment, response action documentation, and post-incident review record for Sev 1-2.</t>
  </si>
  <si>
    <t xml:space="preserve">15</t>
  </si>
  <si>
    <t xml:space="preserve">Incident tickets, PIR meeting minutes, corrective action records</t>
  </si>
  <si>
    <t xml:space="preserve">ITGC Coverage Summary</t>
  </si>
  <si>
    <t xml:space="preserve">Formula-driven counts from the ITGC Matrix tab.</t>
  </si>
  <si>
    <t xml:space="preserve">By Domain</t>
  </si>
  <si>
    <t xml:space="preserve">By Control Type</t>
  </si>
  <si>
    <t xml:space="preserve">Count</t>
  </si>
  <si>
    <t xml:space="preserve">Total</t>
  </si>
  <si>
    <t xml:space="preserve">Automation Split</t>
  </si>
  <si>
    <t xml:space="preserve">Interpretation</t>
  </si>
  <si>
    <t xml:space="preserve">A healthy ITGC portfolio balances all three control types (preventive stops events, detective catches them, corrective recovers) and favors automation where feasible. Manual controls remain legitimate for judgment-heavy tasks (access reviews, incident triage) but require stronger evidence discipline.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</si>
</sst>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CE6F1"/>
        <bgColor rgb="FFE4DFEC"/>
      </patternFill>
    </fill>
    <fill>
      <patternFill patternType="solid">
        <fgColor rgb="FFE4DFEC"/>
        <bgColor rgb="FFDCE6F1"/>
      </patternFill>
    </fill>
    <fill>
      <patternFill patternType="solid">
        <fgColor rgb="FFFCE5CD"/>
        <bgColor rgb="FFFFE8E8"/>
      </patternFill>
    </fill>
    <fill>
      <patternFill patternType="solid">
        <fgColor rgb="FFD9EAD3"/>
        <bgColor rgb="FFDCE6F1"/>
      </patternFill>
    </fill>
    <fill>
      <patternFill patternType="solid">
        <fgColor rgb="FFE8F0FE"/>
        <bgColor rgb="FFDCE6F1"/>
      </patternFill>
    </fill>
    <fill>
      <patternFill patternType="solid">
        <fgColor rgb="FFFFF8E1"/>
        <bgColor rgb="FFFFFFFF"/>
      </patternFill>
    </fill>
    <fill>
      <patternFill patternType="solid">
        <fgColor rgb="FFFFE8E8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FE8E8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8E1"/>
      <rgbColor rgb="FFE8F0FE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9EAD3"/>
      <rgbColor rgb="FFFFE8E8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TGC" displayName="ITGC" ref="A1:J13" headerRowCount="1" totalsRowCount="0" totalsRowShown="0">
  <autoFilter ref="A1:J13"/>
  <tableColumns count="10">
    <tableColumn id="1" name="Control ID"/>
    <tableColumn id="2" name="Domain"/>
    <tableColumn id="3" name="Control Description"/>
    <tableColumn id="4" name="Frequency"/>
    <tableColumn id="5" name="Owner"/>
    <tableColumn id="6" name="Type"/>
    <tableColumn id="7" name="Automated / Manual"/>
    <tableColumn id="8" name="Test Procedure"/>
    <tableColumn id="9" name="Sample Size"/>
    <tableColumn id="10" name="Evidence Requir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6.25" hidden="false" customHeight="false" outlineLevel="0" collapsed="false">
      <c r="A5" s="4"/>
      <c r="B5" s="4" t="s">
        <v>3</v>
      </c>
    </row>
    <row r="6" customFormat="false" ht="15" hidden="false" customHeight="false" outlineLevel="0" collapsed="false">
      <c r="A6" s="4"/>
      <c r="B6" s="4"/>
    </row>
    <row r="7" customFormat="false" ht="23.85" hidden="false" customHeight="false" outlineLevel="0" collapsed="false">
      <c r="A7" s="5" t="s">
        <v>4</v>
      </c>
      <c r="B7" s="4"/>
    </row>
    <row r="8" customFormat="false" ht="15" hidden="false" customHeight="false" outlineLevel="0" collapsed="false">
      <c r="A8" s="5" t="s">
        <v>5</v>
      </c>
      <c r="B8" s="4" t="s">
        <v>6</v>
      </c>
    </row>
    <row r="9" customFormat="false" ht="23.85" hidden="false" customHeight="false" outlineLevel="0" collapsed="false">
      <c r="A9" s="5" t="s">
        <v>7</v>
      </c>
      <c r="B9" s="4" t="s">
        <v>8</v>
      </c>
    </row>
    <row r="10" customFormat="false" ht="23.85" hidden="false" customHeight="false" outlineLevel="0" collapsed="false">
      <c r="A10" s="5" t="s">
        <v>9</v>
      </c>
      <c r="B10" s="4" t="s">
        <v>10</v>
      </c>
    </row>
    <row r="11" customFormat="false" ht="15" hidden="false" customHeight="false" outlineLevel="0" collapsed="false">
      <c r="A11" s="5" t="s">
        <v>11</v>
      </c>
      <c r="B11" s="4" t="s">
        <v>12</v>
      </c>
    </row>
    <row r="12" customFormat="false" ht="15" hidden="false" customHeight="false" outlineLevel="0" collapsed="false">
      <c r="A12" s="4"/>
      <c r="B12" s="4"/>
    </row>
    <row r="13" customFormat="false" ht="15" hidden="false" customHeight="false" outlineLevel="0" collapsed="false">
      <c r="A13" s="5" t="s">
        <v>13</v>
      </c>
      <c r="B13" s="4" t="s">
        <v>14</v>
      </c>
    </row>
    <row r="14" customFormat="false" ht="15" hidden="false" customHeight="false" outlineLevel="0" collapsed="false">
      <c r="A14" s="5" t="s">
        <v>15</v>
      </c>
      <c r="B14" s="4" t="s">
        <v>16</v>
      </c>
    </row>
    <row r="15" customFormat="false" ht="15" hidden="false" customHeight="false" outlineLevel="0" collapsed="false">
      <c r="A15" s="5" t="s">
        <v>17</v>
      </c>
      <c r="B15" s="4" t="s">
        <v>18</v>
      </c>
    </row>
    <row r="16" customFormat="false" ht="23.85" hidden="false" customHeight="false" outlineLevel="0" collapsed="false">
      <c r="A16" s="5" t="s">
        <v>19</v>
      </c>
      <c r="B16" s="4" t="s">
        <v>20</v>
      </c>
    </row>
    <row r="17" customFormat="false" ht="15" hidden="false" customHeight="false" outlineLevel="0" collapsed="false">
      <c r="A17" s="5" t="s">
        <v>21</v>
      </c>
      <c r="B17" s="4" t="s">
        <v>22</v>
      </c>
    </row>
    <row r="18" customFormat="false" ht="15" hidden="false" customHeight="false" outlineLevel="0" collapsed="false">
      <c r="A18" s="5" t="s">
        <v>23</v>
      </c>
      <c r="B18" s="4" t="s">
        <v>24</v>
      </c>
    </row>
    <row r="19" customFormat="false" ht="23.85" hidden="false" customHeight="false" outlineLevel="0" collapsed="false">
      <c r="A19" s="5" t="s">
        <v>25</v>
      </c>
      <c r="B19" s="4" t="s">
        <v>26</v>
      </c>
    </row>
    <row r="20" customFormat="false" ht="23.85" hidden="false" customHeight="false" outlineLevel="0" collapsed="false">
      <c r="A20" s="5" t="s">
        <v>27</v>
      </c>
      <c r="B20" s="4" t="s">
        <v>28</v>
      </c>
    </row>
    <row r="21" customFormat="false" ht="15" hidden="false" customHeight="false" outlineLevel="0" collapsed="false">
      <c r="A21" s="5" t="s">
        <v>29</v>
      </c>
      <c r="B21" s="4" t="s">
        <v>30</v>
      </c>
    </row>
    <row r="22" customFormat="false" ht="23.85" hidden="false" customHeight="false" outlineLevel="0" collapsed="false">
      <c r="A22" s="5" t="s">
        <v>31</v>
      </c>
      <c r="B22" s="4" t="s">
        <v>32</v>
      </c>
    </row>
    <row r="23" customFormat="false" ht="15" hidden="false" customHeight="false" outlineLevel="0" collapsed="false">
      <c r="A23" s="5" t="s">
        <v>33</v>
      </c>
      <c r="B23" s="4" t="s">
        <v>34</v>
      </c>
    </row>
    <row r="24" customFormat="false" ht="15" hidden="false" customHeight="false" outlineLevel="0" collapsed="false">
      <c r="A24" s="4"/>
      <c r="B24" s="4"/>
    </row>
    <row r="25" customFormat="false" ht="23.85" hidden="false" customHeight="false" outlineLevel="0" collapsed="false">
      <c r="A25" s="5" t="s">
        <v>35</v>
      </c>
      <c r="B25" s="4" t="s">
        <v>36</v>
      </c>
    </row>
    <row r="26" customFormat="false" ht="15" hidden="false" customHeight="false" outlineLevel="0" collapsed="false">
      <c r="A26" s="5" t="s">
        <v>37</v>
      </c>
      <c r="B26" s="4" t="s">
        <v>38</v>
      </c>
    </row>
    <row r="27" customFormat="false" ht="15" hidden="false" customHeight="false" outlineLevel="0" collapsed="false">
      <c r="A27" s="5" t="s">
        <v>39</v>
      </c>
      <c r="B27" s="4" t="s">
        <v>40</v>
      </c>
    </row>
    <row r="28" customFormat="false" ht="15" hidden="false" customHeight="false" outlineLevel="0" collapsed="false">
      <c r="A28" s="5" t="s">
        <v>41</v>
      </c>
      <c r="B28" s="4" t="s">
        <v>42</v>
      </c>
    </row>
    <row r="29" customFormat="false" ht="15" hidden="false" customHeight="false" outlineLevel="0" collapsed="false">
      <c r="A29" s="5" t="s">
        <v>43</v>
      </c>
      <c r="B29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2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6" t="s">
        <v>17</v>
      </c>
      <c r="B4" s="6" t="s">
        <v>47</v>
      </c>
      <c r="C4" s="6" t="s">
        <v>48</v>
      </c>
      <c r="D4" s="6" t="s">
        <v>49</v>
      </c>
    </row>
    <row r="5" customFormat="false" ht="46.25" hidden="false" customHeight="false" outlineLevel="0" collapsed="false">
      <c r="A5" s="7" t="s">
        <v>50</v>
      </c>
      <c r="B5" s="8" t="s">
        <v>51</v>
      </c>
      <c r="C5" s="8" t="s">
        <v>52</v>
      </c>
      <c r="D5" s="8" t="s">
        <v>53</v>
      </c>
    </row>
    <row r="6" customFormat="false" ht="46.25" hidden="false" customHeight="false" outlineLevel="0" collapsed="false">
      <c r="A6" s="9" t="s">
        <v>54</v>
      </c>
      <c r="B6" s="8" t="s">
        <v>55</v>
      </c>
      <c r="C6" s="8" t="s">
        <v>56</v>
      </c>
      <c r="D6" s="8" t="s">
        <v>57</v>
      </c>
    </row>
    <row r="7" customFormat="false" ht="46.25" hidden="false" customHeight="false" outlineLevel="0" collapsed="false">
      <c r="A7" s="10" t="s">
        <v>58</v>
      </c>
      <c r="B7" s="8" t="s">
        <v>59</v>
      </c>
      <c r="C7" s="8" t="s">
        <v>60</v>
      </c>
      <c r="D7" s="8" t="s">
        <v>61</v>
      </c>
    </row>
    <row r="8" customFormat="false" ht="35.05" hidden="false" customHeight="false" outlineLevel="0" collapsed="false">
      <c r="A8" s="11" t="s">
        <v>62</v>
      </c>
      <c r="B8" s="8" t="s">
        <v>63</v>
      </c>
      <c r="C8" s="8" t="s">
        <v>64</v>
      </c>
      <c r="D8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68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A3" s="3" t="s">
        <v>67</v>
      </c>
    </row>
    <row r="4" customFormat="false" ht="15" hidden="false" customHeight="false" outlineLevel="0" collapsed="false">
      <c r="A4" s="6" t="s">
        <v>25</v>
      </c>
      <c r="B4" s="6" t="s">
        <v>68</v>
      </c>
      <c r="C4" s="6" t="s">
        <v>69</v>
      </c>
    </row>
    <row r="5" customFormat="false" ht="23.85" hidden="false" customHeight="false" outlineLevel="0" collapsed="false">
      <c r="A5" s="12" t="s">
        <v>70</v>
      </c>
      <c r="B5" s="8" t="s">
        <v>71</v>
      </c>
      <c r="C5" s="8" t="s">
        <v>72</v>
      </c>
    </row>
    <row r="6" customFormat="false" ht="23.85" hidden="false" customHeight="false" outlineLevel="0" collapsed="false">
      <c r="A6" s="13" t="s">
        <v>73</v>
      </c>
      <c r="B6" s="8" t="s">
        <v>74</v>
      </c>
      <c r="C6" s="8" t="s">
        <v>75</v>
      </c>
    </row>
    <row r="7" customFormat="false" ht="15" hidden="false" customHeight="false" outlineLevel="0" collapsed="false">
      <c r="A7" s="14" t="s">
        <v>76</v>
      </c>
      <c r="B7" s="8" t="s">
        <v>77</v>
      </c>
      <c r="C7" s="8" t="s">
        <v>78</v>
      </c>
    </row>
    <row r="9" customFormat="false" ht="15" hidden="false" customHeight="false" outlineLevel="0" collapsed="false">
      <c r="A9" s="3" t="s">
        <v>79</v>
      </c>
    </row>
    <row r="10" customFormat="false" ht="15" hidden="false" customHeight="false" outlineLevel="0" collapsed="false">
      <c r="A10" s="6" t="s">
        <v>80</v>
      </c>
      <c r="B10" s="6" t="s">
        <v>81</v>
      </c>
      <c r="C10" s="6" t="s">
        <v>82</v>
      </c>
    </row>
    <row r="11" customFormat="false" ht="15" hidden="false" customHeight="false" outlineLevel="0" collapsed="false">
      <c r="A11" s="8" t="s">
        <v>37</v>
      </c>
      <c r="B11" s="8" t="s">
        <v>83</v>
      </c>
      <c r="C11" s="8" t="s">
        <v>84</v>
      </c>
    </row>
    <row r="12" customFormat="false" ht="23.85" hidden="false" customHeight="false" outlineLevel="0" collapsed="false">
      <c r="A12" s="8" t="s">
        <v>39</v>
      </c>
      <c r="B12" s="8" t="s">
        <v>85</v>
      </c>
      <c r="C12" s="8" t="s">
        <v>86</v>
      </c>
    </row>
    <row r="13" customFormat="false" ht="23.85" hidden="false" customHeight="false" outlineLevel="0" collapsed="false">
      <c r="A13" s="8" t="s">
        <v>41</v>
      </c>
      <c r="B13" s="8" t="s">
        <v>87</v>
      </c>
      <c r="C13" s="8" t="s">
        <v>88</v>
      </c>
    </row>
    <row r="14" customFormat="false" ht="23.85" hidden="false" customHeight="false" outlineLevel="0" collapsed="false">
      <c r="A14" s="8" t="s">
        <v>43</v>
      </c>
      <c r="B14" s="8" t="s">
        <v>89</v>
      </c>
      <c r="C14" s="8" t="s">
        <v>90</v>
      </c>
    </row>
    <row r="16" customFormat="false" ht="15" hidden="false" customHeight="false" outlineLevel="0" collapsed="false">
      <c r="A16" s="3" t="s">
        <v>91</v>
      </c>
    </row>
    <row r="17" customFormat="false" ht="23.85" hidden="false" customHeight="false" outlineLevel="0" collapsed="false">
      <c r="A17" s="8" t="s">
        <v>92</v>
      </c>
      <c r="B17" s="8" t="s">
        <v>93</v>
      </c>
      <c r="C17" s="8" t="s">
        <v>94</v>
      </c>
    </row>
    <row r="18" customFormat="false" ht="23.85" hidden="false" customHeight="false" outlineLevel="0" collapsed="false">
      <c r="A18" s="8" t="s">
        <v>95</v>
      </c>
      <c r="B18" s="8" t="s">
        <v>96</v>
      </c>
      <c r="C18" s="8" t="s">
        <v>97</v>
      </c>
    </row>
    <row r="19" customFormat="false" ht="15" hidden="false" customHeight="false" outlineLevel="0" collapsed="false">
      <c r="A19" s="8" t="s">
        <v>98</v>
      </c>
      <c r="B19" s="8" t="s">
        <v>99</v>
      </c>
      <c r="C19" s="8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32"/>
  </cols>
  <sheetData>
    <row r="1" customFormat="false" ht="23.85" hidden="false" customHeight="false" outlineLevel="0" collapsed="false">
      <c r="A1" s="15" t="s">
        <v>15</v>
      </c>
      <c r="B1" s="15" t="s">
        <v>17</v>
      </c>
      <c r="C1" s="15" t="s">
        <v>19</v>
      </c>
      <c r="D1" s="15" t="s">
        <v>21</v>
      </c>
      <c r="E1" s="15" t="s">
        <v>23</v>
      </c>
      <c r="F1" s="15" t="s">
        <v>25</v>
      </c>
      <c r="G1" s="15" t="s">
        <v>27</v>
      </c>
      <c r="H1" s="15" t="s">
        <v>29</v>
      </c>
      <c r="I1" s="15" t="s">
        <v>31</v>
      </c>
      <c r="J1" s="15" t="s">
        <v>33</v>
      </c>
    </row>
    <row r="2" customFormat="false" ht="46.25" hidden="false" customHeight="false" outlineLevel="0" collapsed="false">
      <c r="A2" s="8" t="s">
        <v>101</v>
      </c>
      <c r="B2" s="16" t="s">
        <v>50</v>
      </c>
      <c r="C2" s="8" t="s">
        <v>102</v>
      </c>
      <c r="D2" s="8" t="s">
        <v>103</v>
      </c>
      <c r="E2" s="8" t="s">
        <v>104</v>
      </c>
      <c r="F2" s="17" t="s">
        <v>70</v>
      </c>
      <c r="G2" s="18" t="s">
        <v>105</v>
      </c>
      <c r="H2" s="8" t="s">
        <v>106</v>
      </c>
      <c r="I2" s="18" t="s">
        <v>107</v>
      </c>
      <c r="J2" s="8" t="s">
        <v>108</v>
      </c>
    </row>
    <row r="3" customFormat="false" ht="46.25" hidden="false" customHeight="false" outlineLevel="0" collapsed="false">
      <c r="A3" s="8" t="s">
        <v>109</v>
      </c>
      <c r="B3" s="16" t="s">
        <v>50</v>
      </c>
      <c r="C3" s="8" t="s">
        <v>110</v>
      </c>
      <c r="D3" s="8" t="s">
        <v>103</v>
      </c>
      <c r="E3" s="8" t="s">
        <v>104</v>
      </c>
      <c r="F3" s="17" t="s">
        <v>70</v>
      </c>
      <c r="G3" s="18" t="s">
        <v>111</v>
      </c>
      <c r="H3" s="8" t="s">
        <v>112</v>
      </c>
      <c r="I3" s="18" t="s">
        <v>107</v>
      </c>
      <c r="J3" s="8" t="s">
        <v>113</v>
      </c>
    </row>
    <row r="4" customFormat="false" ht="35.05" hidden="false" customHeight="false" outlineLevel="0" collapsed="false">
      <c r="A4" s="8" t="s">
        <v>114</v>
      </c>
      <c r="B4" s="16" t="s">
        <v>50</v>
      </c>
      <c r="C4" s="8" t="s">
        <v>115</v>
      </c>
      <c r="D4" s="8" t="s">
        <v>116</v>
      </c>
      <c r="E4" s="8" t="s">
        <v>117</v>
      </c>
      <c r="F4" s="19" t="s">
        <v>73</v>
      </c>
      <c r="G4" s="18" t="s">
        <v>105</v>
      </c>
      <c r="H4" s="8" t="s">
        <v>118</v>
      </c>
      <c r="I4" s="18" t="s">
        <v>119</v>
      </c>
      <c r="J4" s="8" t="s">
        <v>120</v>
      </c>
    </row>
    <row r="5" customFormat="false" ht="46.25" hidden="false" customHeight="false" outlineLevel="0" collapsed="false">
      <c r="A5" s="8" t="s">
        <v>121</v>
      </c>
      <c r="B5" s="16" t="s">
        <v>50</v>
      </c>
      <c r="C5" s="8" t="s">
        <v>122</v>
      </c>
      <c r="D5" s="8" t="s">
        <v>123</v>
      </c>
      <c r="E5" s="8" t="s">
        <v>104</v>
      </c>
      <c r="F5" s="17" t="s">
        <v>70</v>
      </c>
      <c r="G5" s="18" t="s">
        <v>124</v>
      </c>
      <c r="H5" s="8" t="s">
        <v>125</v>
      </c>
      <c r="I5" s="18" t="s">
        <v>126</v>
      </c>
      <c r="J5" s="8" t="s">
        <v>127</v>
      </c>
    </row>
    <row r="6" customFormat="false" ht="35.05" hidden="false" customHeight="false" outlineLevel="0" collapsed="false">
      <c r="A6" s="8" t="s">
        <v>128</v>
      </c>
      <c r="B6" s="20" t="s">
        <v>54</v>
      </c>
      <c r="C6" s="8" t="s">
        <v>129</v>
      </c>
      <c r="D6" s="8" t="s">
        <v>130</v>
      </c>
      <c r="E6" s="8" t="s">
        <v>131</v>
      </c>
      <c r="F6" s="17" t="s">
        <v>70</v>
      </c>
      <c r="G6" s="18" t="s">
        <v>124</v>
      </c>
      <c r="H6" s="8" t="s">
        <v>132</v>
      </c>
      <c r="I6" s="18" t="s">
        <v>107</v>
      </c>
      <c r="J6" s="8" t="s">
        <v>133</v>
      </c>
    </row>
    <row r="7" customFormat="false" ht="35.05" hidden="false" customHeight="false" outlineLevel="0" collapsed="false">
      <c r="A7" s="8" t="s">
        <v>134</v>
      </c>
      <c r="B7" s="20" t="s">
        <v>54</v>
      </c>
      <c r="C7" s="8" t="s">
        <v>135</v>
      </c>
      <c r="D7" s="8" t="s">
        <v>103</v>
      </c>
      <c r="E7" s="8" t="s">
        <v>136</v>
      </c>
      <c r="F7" s="17" t="s">
        <v>70</v>
      </c>
      <c r="G7" s="18" t="s">
        <v>105</v>
      </c>
      <c r="H7" s="8" t="s">
        <v>137</v>
      </c>
      <c r="I7" s="18" t="s">
        <v>138</v>
      </c>
      <c r="J7" s="8" t="s">
        <v>139</v>
      </c>
    </row>
    <row r="8" customFormat="false" ht="46.25" hidden="false" customHeight="false" outlineLevel="0" collapsed="false">
      <c r="A8" s="8" t="s">
        <v>140</v>
      </c>
      <c r="B8" s="20" t="s">
        <v>54</v>
      </c>
      <c r="C8" s="8" t="s">
        <v>141</v>
      </c>
      <c r="D8" s="8" t="s">
        <v>123</v>
      </c>
      <c r="E8" s="8" t="s">
        <v>131</v>
      </c>
      <c r="F8" s="17" t="s">
        <v>70</v>
      </c>
      <c r="G8" s="18" t="s">
        <v>124</v>
      </c>
      <c r="H8" s="8" t="s">
        <v>142</v>
      </c>
      <c r="I8" s="18" t="s">
        <v>126</v>
      </c>
      <c r="J8" s="8" t="s">
        <v>143</v>
      </c>
    </row>
    <row r="9" customFormat="false" ht="35.05" hidden="false" customHeight="false" outlineLevel="0" collapsed="false">
      <c r="A9" s="8" t="s">
        <v>144</v>
      </c>
      <c r="B9" s="21" t="s">
        <v>58</v>
      </c>
      <c r="C9" s="8" t="s">
        <v>145</v>
      </c>
      <c r="D9" s="8" t="s">
        <v>146</v>
      </c>
      <c r="E9" s="8" t="s">
        <v>131</v>
      </c>
      <c r="F9" s="17" t="s">
        <v>70</v>
      </c>
      <c r="G9" s="18" t="s">
        <v>105</v>
      </c>
      <c r="H9" s="8" t="s">
        <v>147</v>
      </c>
      <c r="I9" s="18" t="s">
        <v>148</v>
      </c>
      <c r="J9" s="8" t="s">
        <v>149</v>
      </c>
    </row>
    <row r="10" customFormat="false" ht="35.05" hidden="false" customHeight="false" outlineLevel="0" collapsed="false">
      <c r="A10" s="8" t="s">
        <v>150</v>
      </c>
      <c r="B10" s="21" t="s">
        <v>58</v>
      </c>
      <c r="C10" s="8" t="s">
        <v>151</v>
      </c>
      <c r="D10" s="8" t="s">
        <v>152</v>
      </c>
      <c r="E10" s="8" t="s">
        <v>131</v>
      </c>
      <c r="F10" s="19" t="s">
        <v>73</v>
      </c>
      <c r="G10" s="18" t="s">
        <v>124</v>
      </c>
      <c r="H10" s="8" t="s">
        <v>153</v>
      </c>
      <c r="I10" s="18" t="s">
        <v>154</v>
      </c>
      <c r="J10" s="8" t="s">
        <v>155</v>
      </c>
    </row>
    <row r="11" customFormat="false" ht="35.05" hidden="false" customHeight="false" outlineLevel="0" collapsed="false">
      <c r="A11" s="8" t="s">
        <v>156</v>
      </c>
      <c r="B11" s="22" t="s">
        <v>62</v>
      </c>
      <c r="C11" s="8" t="s">
        <v>157</v>
      </c>
      <c r="D11" s="8" t="s">
        <v>158</v>
      </c>
      <c r="E11" s="8" t="s">
        <v>104</v>
      </c>
      <c r="F11" s="19" t="s">
        <v>73</v>
      </c>
      <c r="G11" s="18" t="s">
        <v>124</v>
      </c>
      <c r="H11" s="8" t="s">
        <v>159</v>
      </c>
      <c r="I11" s="18" t="s">
        <v>160</v>
      </c>
      <c r="J11" s="8" t="s">
        <v>161</v>
      </c>
    </row>
    <row r="12" customFormat="false" ht="35.05" hidden="false" customHeight="false" outlineLevel="0" collapsed="false">
      <c r="A12" s="8" t="s">
        <v>162</v>
      </c>
      <c r="B12" s="22" t="s">
        <v>62</v>
      </c>
      <c r="C12" s="8" t="s">
        <v>163</v>
      </c>
      <c r="D12" s="8" t="s">
        <v>116</v>
      </c>
      <c r="E12" s="8" t="s">
        <v>104</v>
      </c>
      <c r="F12" s="23" t="s">
        <v>76</v>
      </c>
      <c r="G12" s="18" t="s">
        <v>105</v>
      </c>
      <c r="H12" s="8" t="s">
        <v>164</v>
      </c>
      <c r="I12" s="18" t="s">
        <v>119</v>
      </c>
      <c r="J12" s="8" t="s">
        <v>165</v>
      </c>
    </row>
    <row r="13" customFormat="false" ht="46.25" hidden="false" customHeight="false" outlineLevel="0" collapsed="false">
      <c r="A13" s="8" t="s">
        <v>166</v>
      </c>
      <c r="B13" s="22" t="s">
        <v>62</v>
      </c>
      <c r="C13" s="8" t="s">
        <v>167</v>
      </c>
      <c r="D13" s="8" t="s">
        <v>103</v>
      </c>
      <c r="E13" s="8" t="s">
        <v>168</v>
      </c>
      <c r="F13" s="23" t="s">
        <v>76</v>
      </c>
      <c r="G13" s="18" t="s">
        <v>105</v>
      </c>
      <c r="H13" s="8" t="s">
        <v>169</v>
      </c>
      <c r="I13" s="18" t="s">
        <v>170</v>
      </c>
      <c r="J13" s="8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3" t="s">
        <v>174</v>
      </c>
      <c r="D4" s="3" t="s">
        <v>175</v>
      </c>
    </row>
    <row r="5" customFormat="false" ht="15" hidden="false" customHeight="false" outlineLevel="0" collapsed="false">
      <c r="A5" s="6" t="s">
        <v>17</v>
      </c>
      <c r="B5" s="6" t="s">
        <v>176</v>
      </c>
      <c r="D5" s="6" t="s">
        <v>25</v>
      </c>
      <c r="E5" s="6" t="s">
        <v>176</v>
      </c>
    </row>
    <row r="6" customFormat="false" ht="15" hidden="false" customHeight="false" outlineLevel="0" collapsed="false">
      <c r="A6" s="24" t="s">
        <v>50</v>
      </c>
      <c r="B6" s="18" t="n">
        <f aca="false">COUNTIF('ITGC Matrix'!B:B,"Access to Programs &amp; Data")</f>
        <v>4</v>
      </c>
      <c r="D6" s="25" t="s">
        <v>70</v>
      </c>
      <c r="E6" s="18" t="n">
        <f aca="false">COUNTIF('ITGC Matrix'!F:F,"Preventive")</f>
        <v>7</v>
      </c>
    </row>
    <row r="7" customFormat="false" ht="15" hidden="false" customHeight="false" outlineLevel="0" collapsed="false">
      <c r="A7" s="26" t="s">
        <v>54</v>
      </c>
      <c r="B7" s="18" t="n">
        <f aca="false">COUNTIF('ITGC Matrix'!B:B,"Change Management")</f>
        <v>3</v>
      </c>
      <c r="D7" s="27" t="s">
        <v>73</v>
      </c>
      <c r="E7" s="18" t="n">
        <f aca="false">COUNTIF('ITGC Matrix'!F:F,"Detective")</f>
        <v>3</v>
      </c>
    </row>
    <row r="8" customFormat="false" ht="15" hidden="false" customHeight="false" outlineLevel="0" collapsed="false">
      <c r="A8" s="28" t="s">
        <v>58</v>
      </c>
      <c r="B8" s="18" t="n">
        <f aca="false">COUNTIF('ITGC Matrix'!B:B,"Program Development")</f>
        <v>2</v>
      </c>
      <c r="D8" s="29" t="s">
        <v>76</v>
      </c>
      <c r="E8" s="18" t="n">
        <f aca="false">COUNTIF('ITGC Matrix'!F:F,"Corrective")</f>
        <v>2</v>
      </c>
    </row>
    <row r="9" customFormat="false" ht="15" hidden="false" customHeight="false" outlineLevel="0" collapsed="false">
      <c r="A9" s="30" t="s">
        <v>62</v>
      </c>
      <c r="B9" s="18" t="n">
        <f aca="false">COUNTIF('ITGC Matrix'!B:B,"Computer Operations")</f>
        <v>3</v>
      </c>
      <c r="D9" s="31" t="s">
        <v>177</v>
      </c>
      <c r="E9" s="32" t="n">
        <f aca="false">SUM(E6:E8)</f>
        <v>12</v>
      </c>
    </row>
    <row r="10" customFormat="false" ht="15" hidden="false" customHeight="false" outlineLevel="0" collapsed="false">
      <c r="A10" s="31" t="s">
        <v>177</v>
      </c>
      <c r="B10" s="32" t="n">
        <f aca="false">SUM(B6:B9)</f>
        <v>12</v>
      </c>
    </row>
    <row r="13" customFormat="false" ht="15" hidden="false" customHeight="false" outlineLevel="0" collapsed="false">
      <c r="A13" s="3" t="s">
        <v>178</v>
      </c>
    </row>
    <row r="14" customFormat="false" ht="15" hidden="false" customHeight="false" outlineLevel="0" collapsed="false">
      <c r="A14" s="33" t="s">
        <v>124</v>
      </c>
      <c r="B14" s="34" t="n">
        <f aca="false">COUNTIF('ITGC Matrix'!G:G,"Automated")</f>
        <v>5</v>
      </c>
    </row>
    <row r="15" customFormat="false" ht="15" hidden="false" customHeight="false" outlineLevel="0" collapsed="false">
      <c r="A15" s="33" t="s">
        <v>111</v>
      </c>
      <c r="B15" s="34" t="n">
        <f aca="false">COUNTIF('ITGC Matrix'!G:G,"Semi-automated")</f>
        <v>1</v>
      </c>
    </row>
    <row r="16" customFormat="false" ht="15" hidden="false" customHeight="false" outlineLevel="0" collapsed="false">
      <c r="A16" s="33" t="s">
        <v>105</v>
      </c>
      <c r="B16" s="34" t="n">
        <f aca="false">COUNTIF('ITGC Matrix'!G:G,"Manual")</f>
        <v>6</v>
      </c>
    </row>
    <row r="17" customFormat="false" ht="15" hidden="false" customHeight="false" outlineLevel="0" collapsed="false">
      <c r="A17" s="31" t="s">
        <v>177</v>
      </c>
      <c r="B17" s="32" t="n">
        <f aca="false">B14+B15+B16</f>
        <v>12</v>
      </c>
    </row>
    <row r="19" customFormat="false" ht="39.75" hidden="false" customHeight="true" outlineLevel="0" collapsed="false">
      <c r="A19" s="3" t="s">
        <v>179</v>
      </c>
      <c r="B19" s="35" t="s">
        <v>180</v>
      </c>
      <c r="C19" s="35"/>
      <c r="D19" s="35"/>
      <c r="E19" s="35"/>
      <c r="F19" s="35"/>
    </row>
  </sheetData>
  <mergeCells count="1"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2026-08-10T14:51:36Z</dcterms:created>
  <dc:creator>openpyxl</dc:creator>
  <dc:description/>
  <dc:language>en-US</dc:language>
  <cp:lastModifiedBy/>
  <dcterms:modified xsi:type="dcterms:W3CDTF">2026-08-10T14:51:36Z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