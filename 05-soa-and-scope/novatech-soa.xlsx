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 Structure" sheetId="1" state="visible" r:id="rId3"/>
    <sheet name="Scope Statement Summary" sheetId="2" state="visible" r:id="rId4"/>
    <sheet name="Applicability Legend" sheetId="3" state="visible" r:id="rId5"/>
    <sheet name="SoA (25 controls)" sheetId="4" state="visible" r:id="rId6"/>
    <sheet name="Coverage Summary"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<sst xmlns="http://schemas.openxmlformats.org/spreadsheetml/2006/main" count="312" uniqueCount="210">
  <si>
    <t xml:space="preserve">NOVAtech Inc. - Statement of Applicability (SoA)</t>
  </si>
  <si>
    <t xml:space="preserve">GRC Practicum - Project 5 | Aligned to ISO/IEC 27001:2022 Annex A | Simulated for demonstration.</t>
  </si>
  <si>
    <t xml:space="preserve">WHY THE SoA MATTERS</t>
  </si>
  <si>
    <t xml:space="preserve">The Statement of Applicability is where the ISMS stops being philosophy and becomes evidence. For every Annex A control, the SoA answers three questions: (1) Is it applicable to us? (2) Why or why not? (3) If yes: how is it implemented, and what evidence proves it? Certification auditors spend more time on the SoA than any other document, because it is the map from the standard's controls to your organization's reality.</t>
  </si>
  <si>
    <t xml:space="preserve">HOW THIS WORKBOOK IS STRUCTURED</t>
  </si>
  <si>
    <t xml:space="preserve">Tab: Scope Statement Summary</t>
  </si>
  <si>
    <t xml:space="preserve">Executive summary of the ISMS scope (full statement in the accompanying document). Defines what the SoA covers.</t>
  </si>
  <si>
    <t xml:space="preserve">Tab: Applicability Legend</t>
  </si>
  <si>
    <t xml:space="preserve">Definitions of Applicable / Not Applicable, implementation status categories, and control types.</t>
  </si>
  <si>
    <t xml:space="preserve">Tab: SoA (25 controls)</t>
  </si>
  <si>
    <t xml:space="preserve">The core artifact. 25 selected controls across Annex A themes 5-8 with per-control justification, status, evidence, and cross-references to other portfolio artifacts.</t>
  </si>
  <si>
    <t xml:space="preserve">Tab: Coverage Summary</t>
  </si>
  <si>
    <t xml:space="preserve">Formula-driven counts by theme, status, and applicability. Leadership snapshot.</t>
  </si>
  <si>
    <t xml:space="preserve">COLUMN ANATOMY</t>
  </si>
  <si>
    <t xml:space="preserve">What job each SoA column does:</t>
  </si>
  <si>
    <t xml:space="preserve">Control Ref</t>
  </si>
  <si>
    <t xml:space="preserve">Annex A control number and title. The permanent identifier auditors will cite.</t>
  </si>
  <si>
    <t xml:space="preserve">Theme</t>
  </si>
  <si>
    <t xml:space="preserve">5=Organizational, 6=People, 7=Physical, 8=Technological. The 2022 revision reduced 114 controls to 93 in these four themes.</t>
  </si>
  <si>
    <t xml:space="preserve">Applicable</t>
  </si>
  <si>
    <t xml:space="preserve">Yes or No. If No, MUST have a defensible justification. An SoA with zero exclusions signals nobody examined it.</t>
  </si>
  <si>
    <t xml:space="preserve">Justification</t>
  </si>
  <si>
    <t xml:space="preserve">Why the control applies (or does not). Ties to business context, risk, or legal obligation.</t>
  </si>
  <si>
    <t xml:space="preserve">Implementation Status</t>
  </si>
  <si>
    <t xml:space="preserve">Implemented / Partial / Planned / Not applicable. Honesty here is the whole point; auditors compare status to observed evidence during Stage 2.</t>
  </si>
  <si>
    <t xml:space="preserve">How it is implemented</t>
  </si>
  <si>
    <t xml:space="preserve">Plain-language description of the control operating in this organization. Should reference the tooling, process, or policy that carries it.</t>
  </si>
  <si>
    <t xml:space="preserve">Evidence expected</t>
  </si>
  <si>
    <t xml:space="preserve">What the auditor should ask to see. This column is what turns a claim into an audit-ready record.</t>
  </si>
  <si>
    <t xml:space="preserve">Related risk / project</t>
  </si>
  <si>
    <t xml:space="preserve">Cross-reference to risk register IDs, policy documents, or other portfolio artifacts. Interlocking is how a real ISMS behaves.</t>
  </si>
  <si>
    <t xml:space="preserve">THE DISCIPLINE</t>
  </si>
  <si>
    <t xml:space="preserve">This SoA covers 25 controls. Full Annex A has 93. A production SoA extends the same discipline to all 93; the roadmap step from a mock portfolio to a real one is coverage expansion, not method change.</t>
  </si>
  <si>
    <t xml:space="preserve">ISMS Scope Statement - Summary</t>
  </si>
  <si>
    <t xml:space="preserve">Full statement in accompanying document. This tab is the auditor-facing quick reference.</t>
  </si>
  <si>
    <t xml:space="preserve">Organization</t>
  </si>
  <si>
    <t xml:space="preserve">NOVAtech Inc., a Canadian B2B SaaS company headquartered in Edmonton, Alberta.</t>
  </si>
  <si>
    <t xml:space="preserve">Products/services in scope</t>
  </si>
  <si>
    <t xml:space="preserve">The NOVAtech customer platform (production application, APIs, and supporting infrastructure) and the corporate IT services that support its development and operation.</t>
  </si>
  <si>
    <t xml:space="preserve">Locations in scope</t>
  </si>
  <si>
    <t xml:space="preserve">AWS ca-central-1 (production), Microsoft cloud Canadian regions (M365), Okta cloud (SSO/IdP), Edmonton HQ facility (corporate IT), and the remote workforce distributed across Canada.</t>
  </si>
  <si>
    <t xml:space="preserve">Business functions in scope</t>
  </si>
  <si>
    <t xml:space="preserve">Engineering, Security Operations, IT, Product, Customer Support, and the GRC function itself.</t>
  </si>
  <si>
    <t xml:space="preserve">Business functions excluded</t>
  </si>
  <si>
    <t xml:space="preserve">Marketing (public content only) and its hosting on Vercel (asset A-23); no production or customer data present.</t>
  </si>
  <si>
    <t xml:space="preserve">Interested parties</t>
  </si>
  <si>
    <t xml:space="preserve">Customers (contractual security commitments in MSAs and DPAs), the Office of the Privacy Commissioner of Canada (PIPEDA), employees, third-party vendors handling NOVAtech data, and investors.</t>
  </si>
  <si>
    <t xml:space="preserve">Boundaries and interfaces</t>
  </si>
  <si>
    <t xml:space="preserve">The ISMS boundary is defined at the network, service, and organizational levels. External interfaces include: Stripe (payment processing), PayCo (payroll), Salesforce (CRM), GitHub (source control), and Microsoft/AWS/Okta cloud services. Shared-responsibility considerations are documented per provider.</t>
  </si>
  <si>
    <t xml:space="preserve">Exclusions and justification</t>
  </si>
  <si>
    <t xml:space="preserve">Marketing website (asset A-23) excluded: hosts only public content, no personal or customer data, separate infrastructure, no operational dependency for the customer platform. Physical security of employee home offices excluded: addressed via endpoint controls (MDM, FDE, EDR) rather than physical premise controls.</t>
  </si>
  <si>
    <t xml:space="preserve">Scope version and review</t>
  </si>
  <si>
    <t xml:space="preserve">Version 1.0, approved 2026 by CTO. Reviewed annually or on significant business change.</t>
  </si>
  <si>
    <t xml:space="preserve">SoA Legend</t>
  </si>
  <si>
    <t xml:space="preserve">Applicability</t>
  </si>
  <si>
    <t xml:space="preserve">Value</t>
  </si>
  <si>
    <t xml:space="preserve">Meaning</t>
  </si>
  <si>
    <t xml:space="preserve">What auditors expect</t>
  </si>
  <si>
    <t xml:space="preserve">Yes</t>
  </si>
  <si>
    <t xml:space="preserve">Control applies to NOVAtech</t>
  </si>
  <si>
    <t xml:space="preserve">Full justification, implementation status, and evidence path</t>
  </si>
  <si>
    <t xml:space="preserve">No</t>
  </si>
  <si>
    <t xml:space="preserve">Control does not apply</t>
  </si>
  <si>
    <t xml:space="preserve">Documented reason (no relevant activity, alternative controls, regulatory carve-out). Cannot be 'we chose not to.'</t>
  </si>
  <si>
    <t xml:space="preserve">Status</t>
  </si>
  <si>
    <t xml:space="preserve">Notes</t>
  </si>
  <si>
    <t xml:space="preserve">Implemented</t>
  </si>
  <si>
    <t xml:space="preserve">Operating consistently with documented evidence</t>
  </si>
  <si>
    <t xml:space="preserve">Auditable today</t>
  </si>
  <si>
    <t xml:space="preserve">Partial</t>
  </si>
  <si>
    <t xml:space="preserve">Some elements operate; gaps or coverage limitations</t>
  </si>
  <si>
    <t xml:space="preserve">Cite gap and target date</t>
  </si>
  <si>
    <t xml:space="preserve">Planned</t>
  </si>
  <si>
    <t xml:space="preserve">Design approved; not yet in operation</t>
  </si>
  <si>
    <t xml:space="preserve">Cite implementation target date</t>
  </si>
  <si>
    <t xml:space="preserve">Not applicable</t>
  </si>
  <si>
    <t xml:space="preserve">Control does not apply per justification</t>
  </si>
  <si>
    <t xml:space="preserve">Should match Applicable = No</t>
  </si>
  <si>
    <t xml:space="preserve">A.5.1 Policies for information security</t>
  </si>
  <si>
    <t xml:space="preserve">5. Organizational</t>
  </si>
  <si>
    <t xml:space="preserve">Required by Clause 5.2. Establishes management direction and top-management commitment.</t>
  </si>
  <si>
    <t xml:space="preserve">Information Security Policy v1.0 approved by CTO; supporting policy suite (Access Control, AUP, Vulnerability Management). Reviewed annually.</t>
  </si>
  <si>
    <t xml:space="preserve">Signed policy documents, review meeting minutes, approval records</t>
  </si>
  <si>
    <t xml:space="preserve">Project 8 (policy suite)</t>
  </si>
  <si>
    <t xml:space="preserve">A.5.7 Threat intelligence</t>
  </si>
  <si>
    <t xml:space="preserve">Informs risk assessment and detection engineering. Directly used at NOVAtech via KEV, EPSS, and vendor advisories.</t>
  </si>
  <si>
    <t xml:space="preserve">Sec Ops team monitors CISA KEV, EPSS, vendor advisories; feeds SLA-based prioritization (Project 7) and Splunk detection rules.</t>
  </si>
  <si>
    <t xml:space="preserve">Threat intel review notes, detection use cases traceable to CVEs</t>
  </si>
  <si>
    <t xml:space="preserve">Project 2 (R-02), Project 7</t>
  </si>
  <si>
    <t xml:space="preserve">A.5.9 Inventory of information and other associated assets</t>
  </si>
  <si>
    <t xml:space="preserve">Foundational; every downstream control references the inventory.</t>
  </si>
  <si>
    <t xml:space="preserve">CIS Controls 1-2 style inventory (Project 4A); 22 in-scope assets with owner, classification, criticality. Quarterly review.</t>
  </si>
  <si>
    <t xml:space="preserve">Asset inventory workbook, review sign-offs</t>
  </si>
  <si>
    <t xml:space="preserve">Project 4A</t>
  </si>
  <si>
    <t xml:space="preserve">A.5.10 Acceptable use of information and other associated assets</t>
  </si>
  <si>
    <t xml:space="preserve">Establishes user obligations for company systems and customer data handling.</t>
  </si>
  <si>
    <t xml:space="preserve">Acceptable Use Policy signed at onboarding; covers approved SaaS, credential handling, endpoint requirements.</t>
  </si>
  <si>
    <t xml:space="preserve">Signed AUP records in HRIS</t>
  </si>
  <si>
    <t xml:space="preserve">Project 8</t>
  </si>
  <si>
    <t xml:space="preserve">A.5.15 Access control</t>
  </si>
  <si>
    <t xml:space="preserve">Governs who can access what across the ISMS scope. Central control family.</t>
  </si>
  <si>
    <t xml:space="preserve">Access Control Policy and Standard; RBAC via Okta; least-privilege principle. Provisioning tied to HRIS.</t>
  </si>
  <si>
    <t xml:space="preserve">Access Control Policy, Okta role definitions, access matrix</t>
  </si>
  <si>
    <t xml:space="preserve">Project 8, Project 11 audit target</t>
  </si>
  <si>
    <t xml:space="preserve">A.5.16 Identity management</t>
  </si>
  <si>
    <t xml:space="preserve">User identity lifecycle across systems.</t>
  </si>
  <si>
    <t xml:space="preserve">Joiner/mover/leaver process runs from HRIS through Okta. Automated deprovisioning triggered via HRIS event; weekly reconciliation remains manual until full automation completes.</t>
  </si>
  <si>
    <t xml:space="preserve">HRIS-to-Okta sync logs, provisioning tickets, reconciliation reports</t>
  </si>
  <si>
    <t xml:space="preserve">Project 2 (R-04)</t>
  </si>
  <si>
    <t xml:space="preserve">A.5.17 Authentication information</t>
  </si>
  <si>
    <t xml:space="preserve">Authentication is the first line of access control; central to R-01 treatment.</t>
  </si>
  <si>
    <t xml:space="preserve">Password standard (&gt;=14 chars, breached-password screening, no forced rotation); MFA enforced for all users; phishing-resistant MFA for privileged accounts.</t>
  </si>
  <si>
    <t xml:space="preserve">Okta authentication policy export, MFA enrollment reports</t>
  </si>
  <si>
    <t xml:space="preserve">Project 2 (R-01), Project 8</t>
  </si>
  <si>
    <t xml:space="preserve">A.5.18 Access rights</t>
  </si>
  <si>
    <t xml:space="preserve">Access rights must be granted, reviewed, and revoked based on need. Most-audited control in the access family.</t>
  </si>
  <si>
    <t xml:space="preserve">Quarterly access reviews on Critical systems designed but first cycle pending (Q4 2026). Provisioning and deprovisioning operational; reviews are the gap.</t>
  </si>
  <si>
    <t xml:space="preserve">Signed quarterly review attestations, revocation tickets</t>
  </si>
  <si>
    <t xml:space="preserve">Project 2 (R-04), Project 11 finding target</t>
  </si>
  <si>
    <t xml:space="preserve">A.5.24 Information security incident management planning and preparation</t>
  </si>
  <si>
    <t xml:space="preserve">Prepares the organization for incidents; foundation for A.5.25-A.5.27.</t>
  </si>
  <si>
    <t xml:space="preserve">Incident Response Plan documents roles, severity matrix, escalation paths, communication tree.</t>
  </si>
  <si>
    <t xml:space="preserve">IR Plan document, tabletop exercise records</t>
  </si>
  <si>
    <t xml:space="preserve">A.5.25 Assessment and decision on information security events</t>
  </si>
  <si>
    <t xml:space="preserve">Triage discipline: which events become incidents.</t>
  </si>
  <si>
    <t xml:space="preserve">Splunk alert triage; severity classification per IR Plan; documented decision criteria.</t>
  </si>
  <si>
    <t xml:space="preserve">Ticket samples showing triage decisions, severity assignments</t>
  </si>
  <si>
    <t xml:space="preserve">-</t>
  </si>
  <si>
    <t xml:space="preserve">A.5.26 Response to information security incidents</t>
  </si>
  <si>
    <t xml:space="preserve">Response actions per playbook.</t>
  </si>
  <si>
    <t xml:space="preserve">Playbook-driven containment; ticketed workflow; post-containment communication protocols.</t>
  </si>
  <si>
    <t xml:space="preserve">Incident tickets, playbook execution records</t>
  </si>
  <si>
    <t xml:space="preserve">Project 1 (incident review)</t>
  </si>
  <si>
    <t xml:space="preserve">A.5.27 Learning from information security incidents</t>
  </si>
  <si>
    <t xml:space="preserve">Incidents feed corrective action and continual improvement.</t>
  </si>
  <si>
    <t xml:space="preserve">Post-incident review for all Severity 1-2; recommendations tracked as corrective actions; feeds Clause 10.</t>
  </si>
  <si>
    <t xml:space="preserve">PIR meeting minutes, corrective action tracker</t>
  </si>
  <si>
    <t xml:space="preserve">Project 1</t>
  </si>
  <si>
    <t xml:space="preserve">A.5.28 Collection of evidence</t>
  </si>
  <si>
    <t xml:space="preserve">Evidence must survive scrutiny (legal, regulatory, third-party).</t>
  </si>
  <si>
    <t xml:space="preserve">Evidence-handling procedure in IR Plan; chain of custody documented; forensic timeline preserved.</t>
  </si>
  <si>
    <t xml:space="preserve">Evidence handling procedure, sample incident evidence log</t>
  </si>
  <si>
    <t xml:space="preserve">A.5.34 Privacy and protection of personal identifiable information (PII)</t>
  </si>
  <si>
    <t xml:space="preserve">PIPEDA obligation; customers include PII in the platform.</t>
  </si>
  <si>
    <t xml:space="preserve">Privacy program in progress: data map (Project 10) drafted, breach response runbook in review, RROSH assessment template ready. Formal Privacy Officer role pending.</t>
  </si>
  <si>
    <t xml:space="preserve">Data map, breach runbook, PIPEDA records</t>
  </si>
  <si>
    <t xml:space="preserve">Project 2 (R-08), Project 10</t>
  </si>
  <si>
    <t xml:space="preserve">A.6.3 Information security awareness, education and training</t>
  </si>
  <si>
    <t xml:space="preserve">6. People</t>
  </si>
  <si>
    <t xml:space="preserve">Human layer is a control family in its own right; a common root cause per Project 1.</t>
  </si>
  <si>
    <t xml:space="preserve">Annual mandatory training via LMS; monthly phishing simulations. Completion sits at 71% against 95% target - escalation to managers being added.</t>
  </si>
  <si>
    <t xml:space="preserve">LMS completion reports, phishing simulation results</t>
  </si>
  <si>
    <t xml:space="preserve">Project 1, Project 2 (R-01)</t>
  </si>
  <si>
    <t xml:space="preserve">A.7.4 Physical security monitoring</t>
  </si>
  <si>
    <t xml:space="preserve">7. Physical</t>
  </si>
  <si>
    <t xml:space="preserve">No production systems reside at Edmonton HQ; badge access to office is documented separately. Risk R-15 formally accepted. Alternative controls (badge logging, no on-site prod assets) address residual exposure.</t>
  </si>
  <si>
    <t xml:space="preserve">N/A - see risk R-15 acceptance record</t>
  </si>
  <si>
    <t xml:space="preserve">Risk R-15 acceptance record</t>
  </si>
  <si>
    <t xml:space="preserve">Project 2 (R-15 accepted)</t>
  </si>
  <si>
    <t xml:space="preserve">A.7.10 Storage media</t>
  </si>
  <si>
    <t xml:space="preserve">Endpoint FDE and removable media policy apply.</t>
  </si>
  <si>
    <t xml:space="preserve">Full-disk encryption enforced on all managed endpoints via MDM; removable media blocked by policy on Confidential+ systems.</t>
  </si>
  <si>
    <t xml:space="preserve">MDM encryption compliance report, removable media policy</t>
  </si>
  <si>
    <t xml:space="preserve">Project 2 (R-10)</t>
  </si>
  <si>
    <t xml:space="preserve">A.8.5 Secure authentication</t>
  </si>
  <si>
    <t xml:space="preserve">8. Technological</t>
  </si>
  <si>
    <t xml:space="preserve">Prevents unauthorized access to systems and services.</t>
  </si>
  <si>
    <t xml:space="preserve">SSO via Okta for all corporate apps; MFA mandatory; session controls (idle timeout, max session duration) configured centrally.</t>
  </si>
  <si>
    <t xml:space="preserve">Okta configuration export, MFA enforcement policy</t>
  </si>
  <si>
    <t xml:space="preserve">A.8.7 Protection against malware</t>
  </si>
  <si>
    <t xml:space="preserve">Malware remains a top threat vector to endpoints and servers.</t>
  </si>
  <si>
    <t xml:space="preserve">EDR on all managed endpoints; centralized management; alerts to Splunk; automatic isolation policy for high-severity detections.</t>
  </si>
  <si>
    <t xml:space="preserve">EDR coverage report, alert flow diagram</t>
  </si>
  <si>
    <t xml:space="preserve">Project 2 (R-05)</t>
  </si>
  <si>
    <t xml:space="preserve">A.8.8 Management of technical vulnerabilities</t>
  </si>
  <si>
    <t xml:space="preserve">Central to R-02 treatment; regulator and audit expectation.</t>
  </si>
  <si>
    <t xml:space="preserve">Nessus scanning weekly (external), monthly (internal); SLA-based remediation (Critical 7d / High 30d); KEV monitoring; exception process with expiry.</t>
  </si>
  <si>
    <t xml:space="preserve">Scan reports, SLA compliance metrics, exception register</t>
  </si>
  <si>
    <t xml:space="preserve">A.8.9 Configuration management</t>
  </si>
  <si>
    <t xml:space="preserve">Baselines and drift detection prevent silent misconfiguration.</t>
  </si>
  <si>
    <t xml:space="preserve">CIS Benchmarks applied via Infrastructure-as-Code for AWS resources; drift alerting configured. Endpoint baselines managed via MDM. Gap: cloud services beyond AWS not yet baseline-covered.</t>
  </si>
  <si>
    <t xml:space="preserve">Baseline documents, IaC repository, CSPM drift alerts</t>
  </si>
  <si>
    <t xml:space="preserve">Project 2 (R-03)</t>
  </si>
  <si>
    <t xml:space="preserve">A.8.13 Information backup</t>
  </si>
  <si>
    <t xml:space="preserve">Ransomware recovery and continuity depend on backups.</t>
  </si>
  <si>
    <t xml:space="preserve">Daily immutable backups; 35-day retention; quarterly restore testing with documented success criteria.</t>
  </si>
  <si>
    <t xml:space="preserve">Backup job logs, restore test records</t>
  </si>
  <si>
    <t xml:space="preserve">A.8.15 Logging</t>
  </si>
  <si>
    <t xml:space="preserve">Foundation for detection and audit evidence.</t>
  </si>
  <si>
    <t xml:space="preserve">Centralized logging to Splunk from endpoints, servers, cloud, and identity systems; retention policy 12 months; log integrity via immutable storage.</t>
  </si>
  <si>
    <t xml:space="preserve">Splunk data source list, retention policy, integrity controls</t>
  </si>
  <si>
    <t xml:space="preserve">Project 2, Project 10 (data map)</t>
  </si>
  <si>
    <t xml:space="preserve">A.8.16 Monitoring activities</t>
  </si>
  <si>
    <t xml:space="preserve">Detective control effectiveness. Directly maps to my SOC operational experience.</t>
  </si>
  <si>
    <t xml:space="preserve">24/7 monitoring via Splunk detection use cases; triage runbook; tuning cadence documented; metrics on false positive rate and MTTR.</t>
  </si>
  <si>
    <t xml:space="preserve">Detection use case list, triage tickets, tuning records</t>
  </si>
  <si>
    <t xml:space="preserve">Project 3 (informs detection), all projects</t>
  </si>
  <si>
    <t xml:space="preserve">A.8.32 Change management</t>
  </si>
  <si>
    <t xml:space="preserve">Uncontrolled change is a top root cause of outages (R-09).</t>
  </si>
  <si>
    <t xml:space="preserve">PR-based peer review required for all production changes; CAB reviews high-risk changes; rollback plans documented. Gap: emergency change process is informal and undocumented.</t>
  </si>
  <si>
    <t xml:space="preserve">Change tickets, PR history, CAB meeting minutes</t>
  </si>
  <si>
    <t xml:space="preserve">Project 2 (R-09)</t>
  </si>
  <si>
    <t xml:space="preserve">SoA Coverage Summary</t>
  </si>
  <si>
    <t xml:space="preserve">Formula-driven counts from the SoA tab.</t>
  </si>
  <si>
    <t xml:space="preserve">By Theme</t>
  </si>
  <si>
    <t xml:space="preserve">By Implementation Status</t>
  </si>
  <si>
    <t xml:space="preserve">Count</t>
  </si>
  <si>
    <t xml:space="preserve">Total</t>
  </si>
  <si>
    <t xml:space="preserve">Roadmap note</t>
  </si>
  <si>
    <t xml:space="preserve">Full Annex A contains 93 controls (2022 revision). This SoA covers 25 as a representative subset. Extension to full coverage is a roadmap item.</t>
  </si>
</sst>
</file>

<file path=xl/styles.xml><?xml version="1.0" encoding="utf-8"?>
<styleSheet xmlns="http://schemas.openxmlformats.org/spreadsheetml/2006/main">
  <numFmts count="2">
    <numFmt numFmtId="164" formatCode="General"/>
    <numFmt numFmtId="165" formatCode="General"/>
  </numFmts>
  <fonts count="10">
    <font>
      <sz val="11"/>
      <color theme="1"/>
      <name val="Calibri"/>
      <family val="2"/>
      <charset val="1"/>
    </font>
    <font>
      <sz val="10"/>
      <name val="Arial"/>
      <family val="0"/>
    </font>
    <font>
      <sz val="10"/>
      <name val="Arial"/>
      <family val="0"/>
    </font>
    <font>
      <sz val="10"/>
      <name val="Arial"/>
      <family val="0"/>
    </font>
    <font>
      <b val="true"/>
      <sz val="14"/>
      <color rgb="FF000000"/>
      <name val="Arial"/>
      <family val="0"/>
      <charset val="1"/>
    </font>
    <font>
      <i val="true"/>
      <sz val="10"/>
      <color rgb="FF595959"/>
      <name val="Arial"/>
      <family val="0"/>
      <charset val="1"/>
    </font>
    <font>
      <b val="true"/>
      <sz val="10"/>
      <name val="Arial"/>
      <family val="0"/>
      <charset val="1"/>
    </font>
    <font>
      <sz val="10"/>
      <name val="Arial"/>
      <family val="0"/>
      <charset val="1"/>
    </font>
    <font>
      <b val="true"/>
      <sz val="10"/>
      <color rgb="FFFFFFFF"/>
      <name val="Arial"/>
      <family val="0"/>
      <charset val="1"/>
    </font>
    <font>
      <i val="true"/>
      <sz val="10"/>
      <color rgb="FFC00000"/>
      <name val="Arial"/>
      <family val="0"/>
      <charset val="1"/>
    </font>
  </fonts>
  <fills count="9">
    <fill>
      <patternFill patternType="none"/>
    </fill>
    <fill>
      <patternFill patternType="gray125"/>
    </fill>
    <fill>
      <patternFill patternType="solid">
        <fgColor rgb="FF000000"/>
        <bgColor rgb="FF003300"/>
      </patternFill>
    </fill>
    <fill>
      <patternFill patternType="solid">
        <fgColor rgb="FFD9EAD3"/>
        <bgColor rgb="FFE0E0E0"/>
      </patternFill>
    </fill>
    <fill>
      <patternFill patternType="solid">
        <fgColor rgb="FFFFF2CC"/>
        <bgColor rgb="FFFCE5CD"/>
      </patternFill>
    </fill>
    <fill>
      <patternFill patternType="solid">
        <fgColor rgb="FFFCE5CD"/>
        <bgColor rgb="FFFFF2CC"/>
      </patternFill>
    </fill>
    <fill>
      <patternFill patternType="solid">
        <fgColor rgb="FFE0E0E0"/>
        <bgColor rgb="FFE4DFEC"/>
      </patternFill>
    </fill>
    <fill>
      <patternFill patternType="solid">
        <fgColor rgb="FFDCE6F1"/>
        <bgColor rgb="FFE4DFEC"/>
      </patternFill>
    </fill>
    <fill>
      <patternFill patternType="solid">
        <fgColor rgb="FFE4DFEC"/>
        <bgColor rgb="FFE0E0E0"/>
      </patternFill>
    </fill>
  </fills>
  <borders count="2">
    <border diagonalUp="false" diagonalDown="false">
      <left/>
      <right/>
      <top/>
      <bottom/>
      <diagonal/>
    </border>
    <border diagonalUp="false" diagonalDown="false">
      <left style="thin">
        <color rgb="FFB0B0B0"/>
      </left>
      <right style="thin">
        <color rgb="FFB0B0B0"/>
      </right>
      <top style="thin">
        <color rgb="FFB0B0B0"/>
      </top>
      <bottom style="thin">
        <color rgb="FFB0B0B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7" fillId="8"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9" fillId="6"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7" borderId="1"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4" fontId="7" fillId="8" borderId="1"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4" fontId="7" fillId="6"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center" vertical="center" textRotation="0" wrapText="tru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000000"/>
          <bgColor rgb="FF000000"/>
        </patternFill>
      </fill>
    </dxf>
    <dxf>
      <fill>
        <patternFill patternType="solid">
          <bgColor rgb="FF000000"/>
        </patternFill>
      </fill>
    </dxf>
    <dxf>
      <fill>
        <patternFill patternType="solid">
          <fgColor rgb="FFFFFFFF"/>
          <bgColor rgb="FF000000"/>
        </patternFill>
      </fill>
    </dxf>
    <dxf>
      <fill>
        <patternFill patternType="solid">
          <fgColor rgb="FFD9EAD3"/>
          <bgColor rgb="FF000000"/>
        </patternFill>
      </fill>
    </dxf>
    <dxf>
      <fill>
        <patternFill patternType="solid">
          <fgColor rgb="FFDCE6F1"/>
          <bgColor rgb="FF000000"/>
        </patternFill>
      </fill>
    </dxf>
    <dxf>
      <fill>
        <patternFill patternType="solid">
          <fgColor rgb="FFE4DFEC"/>
          <bgColor rgb="FF000000"/>
        </patternFill>
      </fill>
    </dxf>
    <dxf>
      <fill>
        <patternFill patternType="solid">
          <fgColor rgb="FFFCE5CD"/>
          <bgColor rgb="FF000000"/>
        </patternFill>
      </fill>
    </dxf>
    <dxf>
      <fill>
        <patternFill patternType="solid">
          <fgColor rgb="FFE0E0E0"/>
          <bgColor rgb="FF000000"/>
        </patternFill>
      </fill>
    </dxf>
    <dxf>
      <fill>
        <patternFill patternType="solid">
          <fgColor rgb="FFC00000"/>
          <bgColor rgb="FF000000"/>
        </patternFill>
      </fill>
    </dxf>
    <dxf>
      <fill>
        <patternFill patternType="solid">
          <fgColor rgb="FFFFF2CC"/>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0B0B0"/>
      <rgbColor rgb="FF808080"/>
      <rgbColor rgb="FF9999FF"/>
      <rgbColor rgb="FF993366"/>
      <rgbColor rgb="FFFFF2CC"/>
      <rgbColor rgb="FFDCE6F1"/>
      <rgbColor rgb="FF660066"/>
      <rgbColor rgb="FFFF8080"/>
      <rgbColor rgb="FF0066CC"/>
      <rgbColor rgb="FFE4DFEC"/>
      <rgbColor rgb="FF000080"/>
      <rgbColor rgb="FFFF00FF"/>
      <rgbColor rgb="FFFFFF00"/>
      <rgbColor rgb="FF00FFFF"/>
      <rgbColor rgb="FF800080"/>
      <rgbColor rgb="FF800000"/>
      <rgbColor rgb="FF008080"/>
      <rgbColor rgb="FF0000FF"/>
      <rgbColor rgb="FF00CCFF"/>
      <rgbColor rgb="FFE0E0E0"/>
      <rgbColor rgb="FFD9EAD3"/>
      <rgbColor rgb="FFFFFF99"/>
      <rgbColor rgb="FF99CCFF"/>
      <rgbColor rgb="FFFF99CC"/>
      <rgbColor rgb="FFCC99FF"/>
      <rgbColor rgb="FFFCE5CD"/>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ables/table1.xml><?xml version="1.0" encoding="utf-8"?>
<table xmlns="http://schemas.openxmlformats.org/spreadsheetml/2006/main" id="1" name="SoA" displayName="SoA" ref="A1:H26" headerRowCount="1" totalsRowCount="0" totalsRowShown="0">
  <autoFilter ref="A1:H26"/>
  <tableColumns count="8">
    <tableColumn id="1" name="Control Ref"/>
    <tableColumn id="2" name="Theme"/>
    <tableColumn id="3" name="Applicable"/>
    <tableColumn id="4" name="Justification"/>
    <tableColumn id="5" name="Implementation Status"/>
    <tableColumn id="6" name="How it is implemented"/>
    <tableColumn id="7" name="Evidence expected"/>
    <tableColumn id="8" name="Related risk / project"/>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92"/>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46.25" hidden="false" customHeight="false" outlineLevel="0" collapsed="false">
      <c r="A5" s="4"/>
      <c r="B5" s="4" t="s">
        <v>3</v>
      </c>
    </row>
    <row r="6" customFormat="false" ht="15" hidden="false" customHeight="false" outlineLevel="0" collapsed="false">
      <c r="A6" s="4"/>
      <c r="B6" s="4"/>
    </row>
    <row r="7" customFormat="false" ht="23.85" hidden="false" customHeight="false" outlineLevel="0" collapsed="false">
      <c r="A7" s="5" t="s">
        <v>4</v>
      </c>
      <c r="B7" s="4"/>
    </row>
    <row r="8" customFormat="false" ht="23.85" hidden="false" customHeight="false" outlineLevel="0" collapsed="false">
      <c r="A8" s="5" t="s">
        <v>5</v>
      </c>
      <c r="B8" s="4" t="s">
        <v>6</v>
      </c>
    </row>
    <row r="9" customFormat="false" ht="15" hidden="false" customHeight="false" outlineLevel="0" collapsed="false">
      <c r="A9" s="5" t="s">
        <v>7</v>
      </c>
      <c r="B9" s="4" t="s">
        <v>8</v>
      </c>
    </row>
    <row r="10" customFormat="false" ht="23.85" hidden="false" customHeight="false" outlineLevel="0" collapsed="false">
      <c r="A10" s="5" t="s">
        <v>9</v>
      </c>
      <c r="B10" s="4" t="s">
        <v>10</v>
      </c>
    </row>
    <row r="11" customFormat="false" ht="15" hidden="false" customHeight="false" outlineLevel="0" collapsed="false">
      <c r="A11" s="5" t="s">
        <v>11</v>
      </c>
      <c r="B11" s="4" t="s">
        <v>12</v>
      </c>
    </row>
    <row r="12" customFormat="false" ht="15" hidden="false" customHeight="false" outlineLevel="0" collapsed="false">
      <c r="A12" s="4"/>
      <c r="B12" s="4"/>
    </row>
    <row r="13" customFormat="false" ht="15" hidden="false" customHeight="false" outlineLevel="0" collapsed="false">
      <c r="A13" s="5" t="s">
        <v>13</v>
      </c>
      <c r="B13" s="4" t="s">
        <v>14</v>
      </c>
    </row>
    <row r="14" customFormat="false" ht="15" hidden="false" customHeight="false" outlineLevel="0" collapsed="false">
      <c r="A14" s="5" t="s">
        <v>15</v>
      </c>
      <c r="B14" s="4" t="s">
        <v>16</v>
      </c>
    </row>
    <row r="15" customFormat="false" ht="23.85" hidden="false" customHeight="false" outlineLevel="0" collapsed="false">
      <c r="A15" s="5" t="s">
        <v>17</v>
      </c>
      <c r="B15" s="4" t="s">
        <v>18</v>
      </c>
    </row>
    <row r="16" customFormat="false" ht="15" hidden="false" customHeight="false" outlineLevel="0" collapsed="false">
      <c r="A16" s="5" t="s">
        <v>19</v>
      </c>
      <c r="B16" s="4" t="s">
        <v>20</v>
      </c>
    </row>
    <row r="17" customFormat="false" ht="15" hidden="false" customHeight="false" outlineLevel="0" collapsed="false">
      <c r="A17" s="5" t="s">
        <v>21</v>
      </c>
      <c r="B17" s="4" t="s">
        <v>22</v>
      </c>
    </row>
    <row r="18" customFormat="false" ht="23.85" hidden="false" customHeight="false" outlineLevel="0" collapsed="false">
      <c r="A18" s="5" t="s">
        <v>23</v>
      </c>
      <c r="B18" s="4" t="s">
        <v>24</v>
      </c>
    </row>
    <row r="19" customFormat="false" ht="23.85" hidden="false" customHeight="false" outlineLevel="0" collapsed="false">
      <c r="A19" s="5" t="s">
        <v>25</v>
      </c>
      <c r="B19" s="4" t="s">
        <v>26</v>
      </c>
    </row>
    <row r="20" customFormat="false" ht="15" hidden="false" customHeight="false" outlineLevel="0" collapsed="false">
      <c r="A20" s="5" t="s">
        <v>27</v>
      </c>
      <c r="B20" s="4" t="s">
        <v>28</v>
      </c>
    </row>
    <row r="21" customFormat="false" ht="23.85" hidden="false" customHeight="false" outlineLevel="0" collapsed="false">
      <c r="A21" s="5" t="s">
        <v>29</v>
      </c>
      <c r="B21" s="4" t="s">
        <v>30</v>
      </c>
    </row>
    <row r="22" customFormat="false" ht="15" hidden="false" customHeight="false" outlineLevel="0" collapsed="false">
      <c r="A22" s="4"/>
      <c r="B22" s="4"/>
    </row>
    <row r="23" customFormat="false" ht="23.85" hidden="false" customHeight="false" outlineLevel="0" collapsed="false">
      <c r="A23" s="5" t="s">
        <v>31</v>
      </c>
      <c r="B23" s="4" t="s">
        <v>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90"/>
  </cols>
  <sheetData>
    <row r="1" customFormat="false" ht="17.35" hidden="false" customHeight="false" outlineLevel="0" collapsed="false">
      <c r="A1" s="1" t="s">
        <v>33</v>
      </c>
    </row>
    <row r="2" customFormat="false" ht="15" hidden="false" customHeight="false" outlineLevel="0" collapsed="false">
      <c r="A2" s="2" t="s">
        <v>34</v>
      </c>
    </row>
    <row r="4" customFormat="false" ht="15" hidden="false" customHeight="false" outlineLevel="0" collapsed="false">
      <c r="A4" s="6" t="s">
        <v>35</v>
      </c>
      <c r="B4" s="7" t="s">
        <v>36</v>
      </c>
    </row>
    <row r="5" customFormat="false" ht="23.85" hidden="false" customHeight="false" outlineLevel="0" collapsed="false">
      <c r="A5" s="6" t="s">
        <v>37</v>
      </c>
      <c r="B5" s="7" t="s">
        <v>38</v>
      </c>
    </row>
    <row r="6" customFormat="false" ht="23.85" hidden="false" customHeight="false" outlineLevel="0" collapsed="false">
      <c r="A6" s="6" t="s">
        <v>39</v>
      </c>
      <c r="B6" s="7" t="s">
        <v>40</v>
      </c>
    </row>
    <row r="7" customFormat="false" ht="15" hidden="false" customHeight="false" outlineLevel="0" collapsed="false">
      <c r="A7" s="6" t="s">
        <v>41</v>
      </c>
      <c r="B7" s="7" t="s">
        <v>42</v>
      </c>
    </row>
    <row r="8" customFormat="false" ht="15" hidden="false" customHeight="false" outlineLevel="0" collapsed="false">
      <c r="A8" s="6" t="s">
        <v>43</v>
      </c>
      <c r="B8" s="7" t="s">
        <v>44</v>
      </c>
    </row>
    <row r="9" customFormat="false" ht="23.85" hidden="false" customHeight="false" outlineLevel="0" collapsed="false">
      <c r="A9" s="6" t="s">
        <v>45</v>
      </c>
      <c r="B9" s="7" t="s">
        <v>46</v>
      </c>
    </row>
    <row r="10" customFormat="false" ht="35.05" hidden="false" customHeight="false" outlineLevel="0" collapsed="false">
      <c r="A10" s="6" t="s">
        <v>47</v>
      </c>
      <c r="B10" s="7" t="s">
        <v>48</v>
      </c>
    </row>
    <row r="11" customFormat="false" ht="35.05" hidden="false" customHeight="false" outlineLevel="0" collapsed="false">
      <c r="A11" s="6" t="s">
        <v>49</v>
      </c>
      <c r="B11" s="7" t="s">
        <v>50</v>
      </c>
    </row>
    <row r="12" customFormat="false" ht="15" hidden="false" customHeight="false" outlineLevel="0" collapsed="false">
      <c r="A12" s="6" t="s">
        <v>51</v>
      </c>
      <c r="B12" s="7" t="s">
        <v>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22"/>
    <col collapsed="false" customWidth="true" hidden="false" outlineLevel="0" max="3" min="3" style="0" width="70"/>
  </cols>
  <sheetData>
    <row r="1" customFormat="false" ht="17.35" hidden="false" customHeight="false" outlineLevel="0" collapsed="false">
      <c r="A1" s="1" t="s">
        <v>53</v>
      </c>
    </row>
    <row r="3" customFormat="false" ht="15" hidden="false" customHeight="false" outlineLevel="0" collapsed="false">
      <c r="A3" s="3" t="s">
        <v>54</v>
      </c>
    </row>
    <row r="4" customFormat="false" ht="15" hidden="false" customHeight="false" outlineLevel="0" collapsed="false">
      <c r="A4" s="8" t="s">
        <v>55</v>
      </c>
      <c r="B4" s="8" t="s">
        <v>56</v>
      </c>
      <c r="C4" s="8" t="s">
        <v>57</v>
      </c>
    </row>
    <row r="5" customFormat="false" ht="23.85" hidden="false" customHeight="false" outlineLevel="0" collapsed="false">
      <c r="A5" s="7" t="s">
        <v>58</v>
      </c>
      <c r="B5" s="7" t="s">
        <v>59</v>
      </c>
      <c r="C5" s="7" t="s">
        <v>60</v>
      </c>
    </row>
    <row r="6" customFormat="false" ht="23.85" hidden="false" customHeight="false" outlineLevel="0" collapsed="false">
      <c r="A6" s="7" t="s">
        <v>61</v>
      </c>
      <c r="B6" s="7" t="s">
        <v>62</v>
      </c>
      <c r="C6" s="7" t="s">
        <v>63</v>
      </c>
    </row>
    <row r="8" customFormat="false" ht="15" hidden="false" customHeight="false" outlineLevel="0" collapsed="false">
      <c r="A8" s="3" t="s">
        <v>23</v>
      </c>
    </row>
    <row r="9" customFormat="false" ht="15" hidden="false" customHeight="false" outlineLevel="0" collapsed="false">
      <c r="A9" s="8" t="s">
        <v>64</v>
      </c>
      <c r="B9" s="8" t="s">
        <v>56</v>
      </c>
      <c r="C9" s="8" t="s">
        <v>65</v>
      </c>
    </row>
    <row r="10" customFormat="false" ht="23.85" hidden="false" customHeight="false" outlineLevel="0" collapsed="false">
      <c r="A10" s="9" t="s">
        <v>66</v>
      </c>
      <c r="B10" s="7" t="s">
        <v>67</v>
      </c>
      <c r="C10" s="7" t="s">
        <v>68</v>
      </c>
    </row>
    <row r="11" customFormat="false" ht="35.05" hidden="false" customHeight="false" outlineLevel="0" collapsed="false">
      <c r="A11" s="10" t="s">
        <v>69</v>
      </c>
      <c r="B11" s="7" t="s">
        <v>70</v>
      </c>
      <c r="C11" s="7" t="s">
        <v>71</v>
      </c>
    </row>
    <row r="12" customFormat="false" ht="23.85" hidden="false" customHeight="false" outlineLevel="0" collapsed="false">
      <c r="A12" s="11" t="s">
        <v>72</v>
      </c>
      <c r="B12" s="7" t="s">
        <v>73</v>
      </c>
      <c r="C12" s="7" t="s">
        <v>74</v>
      </c>
    </row>
    <row r="13" customFormat="false" ht="23.85" hidden="false" customHeight="false" outlineLevel="0" collapsed="false">
      <c r="A13" s="12" t="s">
        <v>75</v>
      </c>
      <c r="B13" s="7" t="s">
        <v>76</v>
      </c>
      <c r="C13" s="7" t="s">
        <v>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6"/>
    <col collapsed="false" customWidth="true" hidden="false" outlineLevel="0" max="3" min="3" style="0" width="12"/>
    <col collapsed="false" customWidth="true" hidden="false" outlineLevel="0" max="4" min="4" style="0" width="40"/>
    <col collapsed="false" customWidth="true" hidden="false" outlineLevel="0" max="5" min="5" style="0" width="15"/>
    <col collapsed="false" customWidth="true" hidden="false" outlineLevel="0" max="6" min="6" style="0" width="45"/>
    <col collapsed="false" customWidth="true" hidden="false" outlineLevel="0" max="7" min="7" style="0" width="40"/>
    <col collapsed="false" customWidth="true" hidden="false" outlineLevel="0" max="8" min="8" style="0" width="22"/>
  </cols>
  <sheetData>
    <row r="1" customFormat="false" ht="23.85" hidden="false" customHeight="false" outlineLevel="0" collapsed="false">
      <c r="A1" s="13" t="s">
        <v>15</v>
      </c>
      <c r="B1" s="13" t="s">
        <v>17</v>
      </c>
      <c r="C1" s="13" t="s">
        <v>19</v>
      </c>
      <c r="D1" s="13" t="s">
        <v>21</v>
      </c>
      <c r="E1" s="13" t="s">
        <v>23</v>
      </c>
      <c r="F1" s="13" t="s">
        <v>25</v>
      </c>
      <c r="G1" s="13" t="s">
        <v>27</v>
      </c>
      <c r="H1" s="13" t="s">
        <v>29</v>
      </c>
    </row>
    <row r="2" customFormat="false" ht="35.05" hidden="false" customHeight="false" outlineLevel="0" collapsed="false">
      <c r="A2" s="7" t="s">
        <v>78</v>
      </c>
      <c r="B2" s="14" t="s">
        <v>79</v>
      </c>
      <c r="C2" s="15" t="s">
        <v>58</v>
      </c>
      <c r="D2" s="7" t="s">
        <v>80</v>
      </c>
      <c r="E2" s="16" t="s">
        <v>66</v>
      </c>
      <c r="F2" s="7" t="s">
        <v>81</v>
      </c>
      <c r="G2" s="7" t="s">
        <v>82</v>
      </c>
      <c r="H2" s="7" t="s">
        <v>83</v>
      </c>
    </row>
    <row r="3" customFormat="false" ht="35.05" hidden="false" customHeight="false" outlineLevel="0" collapsed="false">
      <c r="A3" s="7" t="s">
        <v>84</v>
      </c>
      <c r="B3" s="14" t="s">
        <v>79</v>
      </c>
      <c r="C3" s="15" t="s">
        <v>58</v>
      </c>
      <c r="D3" s="7" t="s">
        <v>85</v>
      </c>
      <c r="E3" s="16" t="s">
        <v>66</v>
      </c>
      <c r="F3" s="7" t="s">
        <v>86</v>
      </c>
      <c r="G3" s="7" t="s">
        <v>87</v>
      </c>
      <c r="H3" s="7" t="s">
        <v>88</v>
      </c>
    </row>
    <row r="4" customFormat="false" ht="35.05" hidden="false" customHeight="false" outlineLevel="0" collapsed="false">
      <c r="A4" s="7" t="s">
        <v>89</v>
      </c>
      <c r="B4" s="14" t="s">
        <v>79</v>
      </c>
      <c r="C4" s="15" t="s">
        <v>58</v>
      </c>
      <c r="D4" s="7" t="s">
        <v>90</v>
      </c>
      <c r="E4" s="16" t="s">
        <v>66</v>
      </c>
      <c r="F4" s="7" t="s">
        <v>91</v>
      </c>
      <c r="G4" s="7" t="s">
        <v>92</v>
      </c>
      <c r="H4" s="7" t="s">
        <v>93</v>
      </c>
    </row>
    <row r="5" customFormat="false" ht="35.05" hidden="false" customHeight="false" outlineLevel="0" collapsed="false">
      <c r="A5" s="7" t="s">
        <v>94</v>
      </c>
      <c r="B5" s="14" t="s">
        <v>79</v>
      </c>
      <c r="C5" s="15" t="s">
        <v>58</v>
      </c>
      <c r="D5" s="7" t="s">
        <v>95</v>
      </c>
      <c r="E5" s="16" t="s">
        <v>66</v>
      </c>
      <c r="F5" s="7" t="s">
        <v>96</v>
      </c>
      <c r="G5" s="7" t="s">
        <v>97</v>
      </c>
      <c r="H5" s="7" t="s">
        <v>98</v>
      </c>
    </row>
    <row r="6" customFormat="false" ht="23.85" hidden="false" customHeight="false" outlineLevel="0" collapsed="false">
      <c r="A6" s="7" t="s">
        <v>99</v>
      </c>
      <c r="B6" s="14" t="s">
        <v>79</v>
      </c>
      <c r="C6" s="15" t="s">
        <v>58</v>
      </c>
      <c r="D6" s="7" t="s">
        <v>100</v>
      </c>
      <c r="E6" s="16" t="s">
        <v>66</v>
      </c>
      <c r="F6" s="7" t="s">
        <v>101</v>
      </c>
      <c r="G6" s="7" t="s">
        <v>102</v>
      </c>
      <c r="H6" s="7" t="s">
        <v>103</v>
      </c>
    </row>
    <row r="7" customFormat="false" ht="46.25" hidden="false" customHeight="false" outlineLevel="0" collapsed="false">
      <c r="A7" s="7" t="s">
        <v>104</v>
      </c>
      <c r="B7" s="14" t="s">
        <v>79</v>
      </c>
      <c r="C7" s="15" t="s">
        <v>58</v>
      </c>
      <c r="D7" s="7" t="s">
        <v>105</v>
      </c>
      <c r="E7" s="17" t="s">
        <v>69</v>
      </c>
      <c r="F7" s="7" t="s">
        <v>106</v>
      </c>
      <c r="G7" s="7" t="s">
        <v>107</v>
      </c>
      <c r="H7" s="7" t="s">
        <v>108</v>
      </c>
    </row>
    <row r="8" customFormat="false" ht="35.05" hidden="false" customHeight="false" outlineLevel="0" collapsed="false">
      <c r="A8" s="7" t="s">
        <v>109</v>
      </c>
      <c r="B8" s="14" t="s">
        <v>79</v>
      </c>
      <c r="C8" s="15" t="s">
        <v>58</v>
      </c>
      <c r="D8" s="7" t="s">
        <v>110</v>
      </c>
      <c r="E8" s="16" t="s">
        <v>66</v>
      </c>
      <c r="F8" s="7" t="s">
        <v>111</v>
      </c>
      <c r="G8" s="7" t="s">
        <v>112</v>
      </c>
      <c r="H8" s="7" t="s">
        <v>113</v>
      </c>
    </row>
    <row r="9" customFormat="false" ht="35.05" hidden="false" customHeight="false" outlineLevel="0" collapsed="false">
      <c r="A9" s="7" t="s">
        <v>114</v>
      </c>
      <c r="B9" s="14" t="s">
        <v>79</v>
      </c>
      <c r="C9" s="15" t="s">
        <v>58</v>
      </c>
      <c r="D9" s="7" t="s">
        <v>115</v>
      </c>
      <c r="E9" s="18" t="s">
        <v>72</v>
      </c>
      <c r="F9" s="7" t="s">
        <v>116</v>
      </c>
      <c r="G9" s="7" t="s">
        <v>117</v>
      </c>
      <c r="H9" s="7" t="s">
        <v>118</v>
      </c>
    </row>
    <row r="10" customFormat="false" ht="35.05" hidden="false" customHeight="false" outlineLevel="0" collapsed="false">
      <c r="A10" s="7" t="s">
        <v>119</v>
      </c>
      <c r="B10" s="14" t="s">
        <v>79</v>
      </c>
      <c r="C10" s="15" t="s">
        <v>58</v>
      </c>
      <c r="D10" s="7" t="s">
        <v>120</v>
      </c>
      <c r="E10" s="16" t="s">
        <v>66</v>
      </c>
      <c r="F10" s="7" t="s">
        <v>121</v>
      </c>
      <c r="G10" s="7" t="s">
        <v>122</v>
      </c>
      <c r="H10" s="7" t="s">
        <v>98</v>
      </c>
    </row>
    <row r="11" customFormat="false" ht="35.05" hidden="false" customHeight="false" outlineLevel="0" collapsed="false">
      <c r="A11" s="7" t="s">
        <v>123</v>
      </c>
      <c r="B11" s="14" t="s">
        <v>79</v>
      </c>
      <c r="C11" s="15" t="s">
        <v>58</v>
      </c>
      <c r="D11" s="7" t="s">
        <v>124</v>
      </c>
      <c r="E11" s="16" t="s">
        <v>66</v>
      </c>
      <c r="F11" s="7" t="s">
        <v>125</v>
      </c>
      <c r="G11" s="7" t="s">
        <v>126</v>
      </c>
      <c r="H11" s="7" t="s">
        <v>127</v>
      </c>
    </row>
    <row r="12" customFormat="false" ht="35.05" hidden="false" customHeight="false" outlineLevel="0" collapsed="false">
      <c r="A12" s="7" t="s">
        <v>128</v>
      </c>
      <c r="B12" s="14" t="s">
        <v>79</v>
      </c>
      <c r="C12" s="15" t="s">
        <v>58</v>
      </c>
      <c r="D12" s="7" t="s">
        <v>129</v>
      </c>
      <c r="E12" s="16" t="s">
        <v>66</v>
      </c>
      <c r="F12" s="7" t="s">
        <v>130</v>
      </c>
      <c r="G12" s="7" t="s">
        <v>131</v>
      </c>
      <c r="H12" s="7" t="s">
        <v>132</v>
      </c>
    </row>
    <row r="13" customFormat="false" ht="35.05" hidden="false" customHeight="false" outlineLevel="0" collapsed="false">
      <c r="A13" s="7" t="s">
        <v>133</v>
      </c>
      <c r="B13" s="14" t="s">
        <v>79</v>
      </c>
      <c r="C13" s="15" t="s">
        <v>58</v>
      </c>
      <c r="D13" s="7" t="s">
        <v>134</v>
      </c>
      <c r="E13" s="16" t="s">
        <v>66</v>
      </c>
      <c r="F13" s="7" t="s">
        <v>135</v>
      </c>
      <c r="G13" s="7" t="s">
        <v>136</v>
      </c>
      <c r="H13" s="7" t="s">
        <v>137</v>
      </c>
    </row>
    <row r="14" customFormat="false" ht="23.85" hidden="false" customHeight="false" outlineLevel="0" collapsed="false">
      <c r="A14" s="7" t="s">
        <v>138</v>
      </c>
      <c r="B14" s="14" t="s">
        <v>79</v>
      </c>
      <c r="C14" s="15" t="s">
        <v>58</v>
      </c>
      <c r="D14" s="7" t="s">
        <v>139</v>
      </c>
      <c r="E14" s="16" t="s">
        <v>66</v>
      </c>
      <c r="F14" s="7" t="s">
        <v>140</v>
      </c>
      <c r="G14" s="7" t="s">
        <v>141</v>
      </c>
      <c r="H14" s="7" t="s">
        <v>137</v>
      </c>
    </row>
    <row r="15" customFormat="false" ht="46.25" hidden="false" customHeight="false" outlineLevel="0" collapsed="false">
      <c r="A15" s="7" t="s">
        <v>142</v>
      </c>
      <c r="B15" s="14" t="s">
        <v>79</v>
      </c>
      <c r="C15" s="15" t="s">
        <v>58</v>
      </c>
      <c r="D15" s="7" t="s">
        <v>143</v>
      </c>
      <c r="E15" s="17" t="s">
        <v>69</v>
      </c>
      <c r="F15" s="7" t="s">
        <v>144</v>
      </c>
      <c r="G15" s="7" t="s">
        <v>145</v>
      </c>
      <c r="H15" s="7" t="s">
        <v>146</v>
      </c>
    </row>
    <row r="16" customFormat="false" ht="35.05" hidden="false" customHeight="false" outlineLevel="0" collapsed="false">
      <c r="A16" s="7" t="s">
        <v>147</v>
      </c>
      <c r="B16" s="19" t="s">
        <v>148</v>
      </c>
      <c r="C16" s="15" t="s">
        <v>58</v>
      </c>
      <c r="D16" s="7" t="s">
        <v>149</v>
      </c>
      <c r="E16" s="17" t="s">
        <v>69</v>
      </c>
      <c r="F16" s="7" t="s">
        <v>150</v>
      </c>
      <c r="G16" s="7" t="s">
        <v>151</v>
      </c>
      <c r="H16" s="7" t="s">
        <v>152</v>
      </c>
    </row>
    <row r="17" customFormat="false" ht="57.45" hidden="false" customHeight="false" outlineLevel="0" collapsed="false">
      <c r="A17" s="7" t="s">
        <v>153</v>
      </c>
      <c r="B17" s="20" t="s">
        <v>154</v>
      </c>
      <c r="C17" s="21" t="s">
        <v>61</v>
      </c>
      <c r="D17" s="7" t="s">
        <v>155</v>
      </c>
      <c r="E17" s="22" t="s">
        <v>75</v>
      </c>
      <c r="F17" s="7" t="s">
        <v>156</v>
      </c>
      <c r="G17" s="7" t="s">
        <v>157</v>
      </c>
      <c r="H17" s="7" t="s">
        <v>158</v>
      </c>
    </row>
    <row r="18" customFormat="false" ht="35.05" hidden="false" customHeight="false" outlineLevel="0" collapsed="false">
      <c r="A18" s="7" t="s">
        <v>159</v>
      </c>
      <c r="B18" s="20" t="s">
        <v>154</v>
      </c>
      <c r="C18" s="15" t="s">
        <v>58</v>
      </c>
      <c r="D18" s="7" t="s">
        <v>160</v>
      </c>
      <c r="E18" s="16" t="s">
        <v>66</v>
      </c>
      <c r="F18" s="7" t="s">
        <v>161</v>
      </c>
      <c r="G18" s="7" t="s">
        <v>162</v>
      </c>
      <c r="H18" s="7" t="s">
        <v>163</v>
      </c>
    </row>
    <row r="19" customFormat="false" ht="35.05" hidden="false" customHeight="false" outlineLevel="0" collapsed="false">
      <c r="A19" s="7" t="s">
        <v>164</v>
      </c>
      <c r="B19" s="23" t="s">
        <v>165</v>
      </c>
      <c r="C19" s="15" t="s">
        <v>58</v>
      </c>
      <c r="D19" s="7" t="s">
        <v>166</v>
      </c>
      <c r="E19" s="16" t="s">
        <v>66</v>
      </c>
      <c r="F19" s="7" t="s">
        <v>167</v>
      </c>
      <c r="G19" s="7" t="s">
        <v>168</v>
      </c>
      <c r="H19" s="7" t="s">
        <v>113</v>
      </c>
    </row>
    <row r="20" customFormat="false" ht="35.05" hidden="false" customHeight="false" outlineLevel="0" collapsed="false">
      <c r="A20" s="7" t="s">
        <v>169</v>
      </c>
      <c r="B20" s="23" t="s">
        <v>165</v>
      </c>
      <c r="C20" s="15" t="s">
        <v>58</v>
      </c>
      <c r="D20" s="7" t="s">
        <v>170</v>
      </c>
      <c r="E20" s="16" t="s">
        <v>66</v>
      </c>
      <c r="F20" s="7" t="s">
        <v>171</v>
      </c>
      <c r="G20" s="7" t="s">
        <v>172</v>
      </c>
      <c r="H20" s="7" t="s">
        <v>173</v>
      </c>
    </row>
    <row r="21" customFormat="false" ht="35.05" hidden="false" customHeight="false" outlineLevel="0" collapsed="false">
      <c r="A21" s="7" t="s">
        <v>174</v>
      </c>
      <c r="B21" s="23" t="s">
        <v>165</v>
      </c>
      <c r="C21" s="15" t="s">
        <v>58</v>
      </c>
      <c r="D21" s="7" t="s">
        <v>175</v>
      </c>
      <c r="E21" s="16" t="s">
        <v>66</v>
      </c>
      <c r="F21" s="7" t="s">
        <v>176</v>
      </c>
      <c r="G21" s="7" t="s">
        <v>177</v>
      </c>
      <c r="H21" s="7" t="s">
        <v>88</v>
      </c>
    </row>
    <row r="22" customFormat="false" ht="46.25" hidden="false" customHeight="false" outlineLevel="0" collapsed="false">
      <c r="A22" s="7" t="s">
        <v>178</v>
      </c>
      <c r="B22" s="23" t="s">
        <v>165</v>
      </c>
      <c r="C22" s="15" t="s">
        <v>58</v>
      </c>
      <c r="D22" s="7" t="s">
        <v>179</v>
      </c>
      <c r="E22" s="17" t="s">
        <v>69</v>
      </c>
      <c r="F22" s="7" t="s">
        <v>180</v>
      </c>
      <c r="G22" s="7" t="s">
        <v>181</v>
      </c>
      <c r="H22" s="7" t="s">
        <v>182</v>
      </c>
    </row>
    <row r="23" customFormat="false" ht="23.85" hidden="false" customHeight="false" outlineLevel="0" collapsed="false">
      <c r="A23" s="7" t="s">
        <v>183</v>
      </c>
      <c r="B23" s="23" t="s">
        <v>165</v>
      </c>
      <c r="C23" s="15" t="s">
        <v>58</v>
      </c>
      <c r="D23" s="7" t="s">
        <v>184</v>
      </c>
      <c r="E23" s="16" t="s">
        <v>66</v>
      </c>
      <c r="F23" s="7" t="s">
        <v>185</v>
      </c>
      <c r="G23" s="7" t="s">
        <v>186</v>
      </c>
      <c r="H23" s="7" t="s">
        <v>173</v>
      </c>
    </row>
    <row r="24" customFormat="false" ht="35.05" hidden="false" customHeight="false" outlineLevel="0" collapsed="false">
      <c r="A24" s="7" t="s">
        <v>187</v>
      </c>
      <c r="B24" s="23" t="s">
        <v>165</v>
      </c>
      <c r="C24" s="15" t="s">
        <v>58</v>
      </c>
      <c r="D24" s="7" t="s">
        <v>188</v>
      </c>
      <c r="E24" s="16" t="s">
        <v>66</v>
      </c>
      <c r="F24" s="7" t="s">
        <v>189</v>
      </c>
      <c r="G24" s="7" t="s">
        <v>190</v>
      </c>
      <c r="H24" s="7" t="s">
        <v>191</v>
      </c>
    </row>
    <row r="25" customFormat="false" ht="35.05" hidden="false" customHeight="false" outlineLevel="0" collapsed="false">
      <c r="A25" s="7" t="s">
        <v>192</v>
      </c>
      <c r="B25" s="23" t="s">
        <v>165</v>
      </c>
      <c r="C25" s="15" t="s">
        <v>58</v>
      </c>
      <c r="D25" s="7" t="s">
        <v>193</v>
      </c>
      <c r="E25" s="16" t="s">
        <v>66</v>
      </c>
      <c r="F25" s="7" t="s">
        <v>194</v>
      </c>
      <c r="G25" s="7" t="s">
        <v>195</v>
      </c>
      <c r="H25" s="7" t="s">
        <v>196</v>
      </c>
    </row>
    <row r="26" customFormat="false" ht="46.25" hidden="false" customHeight="false" outlineLevel="0" collapsed="false">
      <c r="A26" s="7" t="s">
        <v>197</v>
      </c>
      <c r="B26" s="23" t="s">
        <v>165</v>
      </c>
      <c r="C26" s="15" t="s">
        <v>58</v>
      </c>
      <c r="D26" s="7" t="s">
        <v>198</v>
      </c>
      <c r="E26" s="17" t="s">
        <v>69</v>
      </c>
      <c r="F26" s="7" t="s">
        <v>199</v>
      </c>
      <c r="G26" s="7" t="s">
        <v>200</v>
      </c>
      <c r="H26" s="7" t="s">
        <v>201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0"/>
    <col collapsed="false" customWidth="true" hidden="false" outlineLevel="0" max="3" min="3" style="0" width="4"/>
    <col collapsed="false" customWidth="true" hidden="false" outlineLevel="0" max="4" min="4" style="0" width="24"/>
    <col collapsed="false" customWidth="true" hidden="false" outlineLevel="0" max="5" min="5" style="0" width="10"/>
    <col collapsed="false" customWidth="true" hidden="false" outlineLevel="0" max="6" min="6" style="0" width="4"/>
  </cols>
  <sheetData>
    <row r="1" customFormat="false" ht="17.35" hidden="false" customHeight="false" outlineLevel="0" collapsed="false">
      <c r="A1" s="1" t="s">
        <v>202</v>
      </c>
    </row>
    <row r="2" customFormat="false" ht="15" hidden="false" customHeight="false" outlineLevel="0" collapsed="false">
      <c r="A2" s="2" t="s">
        <v>203</v>
      </c>
    </row>
    <row r="4" customFormat="false" ht="15" hidden="false" customHeight="false" outlineLevel="0" collapsed="false">
      <c r="A4" s="3" t="s">
        <v>204</v>
      </c>
      <c r="D4" s="3" t="s">
        <v>205</v>
      </c>
    </row>
    <row r="5" customFormat="false" ht="15" hidden="false" customHeight="false" outlineLevel="0" collapsed="false">
      <c r="A5" s="8" t="s">
        <v>17</v>
      </c>
      <c r="B5" s="8" t="s">
        <v>206</v>
      </c>
      <c r="D5" s="8" t="s">
        <v>64</v>
      </c>
      <c r="E5" s="8" t="s">
        <v>206</v>
      </c>
    </row>
    <row r="6" customFormat="false" ht="15" hidden="false" customHeight="false" outlineLevel="0" collapsed="false">
      <c r="A6" s="24" t="s">
        <v>79</v>
      </c>
      <c r="B6" s="15" t="n">
        <f aca="false">COUNTIF('SoA (25 controls)'!B:B,"5. Organizational")</f>
        <v>14</v>
      </c>
      <c r="D6" s="25" t="s">
        <v>66</v>
      </c>
      <c r="E6" s="15" t="n">
        <f aca="false">COUNTIF('SoA (25 controls)'!E:E,"Implemented")</f>
        <v>18</v>
      </c>
    </row>
    <row r="7" customFormat="false" ht="15" hidden="false" customHeight="false" outlineLevel="0" collapsed="false">
      <c r="A7" s="26" t="s">
        <v>148</v>
      </c>
      <c r="B7" s="15" t="n">
        <f aca="false">COUNTIF('SoA (25 controls)'!B:B,"6. People")</f>
        <v>1</v>
      </c>
      <c r="D7" s="27" t="s">
        <v>69</v>
      </c>
      <c r="E7" s="15" t="n">
        <f aca="false">COUNTIF('SoA (25 controls)'!E:E,"Partial")</f>
        <v>5</v>
      </c>
    </row>
    <row r="8" customFormat="false" ht="15" hidden="false" customHeight="false" outlineLevel="0" collapsed="false">
      <c r="A8" s="28" t="s">
        <v>154</v>
      </c>
      <c r="B8" s="15" t="n">
        <f aca="false">COUNTIF('SoA (25 controls)'!B:B,"7. Physical")</f>
        <v>2</v>
      </c>
      <c r="D8" s="28" t="s">
        <v>72</v>
      </c>
      <c r="E8" s="15" t="n">
        <f aca="false">COUNTIF('SoA (25 controls)'!E:E,"Planned")</f>
        <v>1</v>
      </c>
    </row>
    <row r="9" customFormat="false" ht="15" hidden="false" customHeight="false" outlineLevel="0" collapsed="false">
      <c r="A9" s="25" t="s">
        <v>165</v>
      </c>
      <c r="B9" s="15" t="n">
        <f aca="false">COUNTIF('SoA (25 controls)'!B:B,"8. Technological")</f>
        <v>8</v>
      </c>
      <c r="D9" s="29" t="s">
        <v>75</v>
      </c>
      <c r="E9" s="15" t="n">
        <f aca="false">COUNTIF('SoA (25 controls)'!E:E,"Not applicable")</f>
        <v>1</v>
      </c>
    </row>
    <row r="10" customFormat="false" ht="15" hidden="false" customHeight="false" outlineLevel="0" collapsed="false">
      <c r="A10" s="30" t="s">
        <v>207</v>
      </c>
      <c r="B10" s="31" t="n">
        <f aca="false">SUM(B6:B9)</f>
        <v>25</v>
      </c>
      <c r="D10" s="30" t="s">
        <v>207</v>
      </c>
      <c r="E10" s="31" t="n">
        <f aca="false">SUM(E6:E9)</f>
        <v>25</v>
      </c>
    </row>
    <row r="13" customFormat="false" ht="15" hidden="false" customHeight="false" outlineLevel="0" collapsed="false">
      <c r="A13" s="3" t="s">
        <v>54</v>
      </c>
    </row>
    <row r="14" customFormat="false" ht="15" hidden="false" customHeight="false" outlineLevel="0" collapsed="false">
      <c r="A14" s="32" t="s">
        <v>19</v>
      </c>
      <c r="B14" s="33" t="n">
        <f aca="false">COUNTIF('SoA (25 controls)'!C:C,"Yes")</f>
        <v>24</v>
      </c>
    </row>
    <row r="15" customFormat="false" ht="15" hidden="false" customHeight="false" outlineLevel="0" collapsed="false">
      <c r="A15" s="32" t="s">
        <v>75</v>
      </c>
      <c r="B15" s="33" t="n">
        <f aca="false">COUNTIF('SoA (25 controls)'!C:C,"No")</f>
        <v>1</v>
      </c>
    </row>
    <row r="16" customFormat="false" ht="15" hidden="false" customHeight="false" outlineLevel="0" collapsed="false">
      <c r="A16" s="30" t="s">
        <v>207</v>
      </c>
      <c r="B16" s="31" t="n">
        <f aca="false">B14+B15</f>
        <v>25</v>
      </c>
    </row>
    <row r="18" customFormat="false" ht="31.5" hidden="false" customHeight="true" outlineLevel="0" collapsed="false">
      <c r="A18" s="3" t="s">
        <v>208</v>
      </c>
      <c r="B18" s="34" t="s">
        <v>209</v>
      </c>
      <c r="C18" s="34"/>
      <c r="D18" s="34"/>
      <c r="E18" s="34"/>
      <c r="F18" s="34"/>
    </row>
  </sheetData>
  <mergeCells count="1">
    <mergeCell ref="B18:F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2026-08-03T17:23:49Z</dcterms:created>
  <dc:creator>openpyxl</dc:creator>
  <dc:description/>
  <dc:language>en-US</dc:language>
  <cp:lastModifiedBy/>
  <dcterms:modified xsi:type="dcterms:W3CDTF">2026-08-03T17:23:49Z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