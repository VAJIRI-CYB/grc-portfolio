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- Structure" sheetId="1" r:id="rId5"/>
    <sheet state="visible" name="Scales &amp; Criteria" sheetId="2" r:id="rId6"/>
    <sheet state="visible" name="Risk Register" sheetId="3" r:id="rId7"/>
    <sheet state="visible" name="Heat Map" sheetId="4" r:id="rId8"/>
  </sheets>
  <definedNames/>
  <calcPr/>
</workbook>
</file>

<file path=xl/sharedStrings.xml><?xml version="1.0" encoding="utf-8"?>
<sst xmlns="http://schemas.openxmlformats.org/spreadsheetml/2006/main" count="270" uniqueCount="193">
  <si>
    <t>NOVAtech Inc. — Enterprise Risk Register</t>
  </si>
  <si>
    <t>HOW THIS WORKBOOK IS STRUCTURED</t>
  </si>
  <si>
    <t>Tab: Scales &amp; Criteria</t>
  </si>
  <si>
    <t>Defines what each Likelihood and Impact score MEANS, plus the risk appetite threshold. Scores without defined criteria are vibes — this tab is what makes every number in the register defensible.</t>
  </si>
  <si>
    <t>Tab: Risk Register</t>
  </si>
  <si>
    <t>The living document. One row per risk. Inherent score = risk before controls; Residual = after treatment. Score cells are formulas (L × I) and color-coded against appetite.</t>
  </si>
  <si>
    <t>Tab: Heat Map</t>
  </si>
  <si>
    <t>The 5×5 board-level view — inherent risk positions by Likelihood × Impact. This is what executives actually look at.</t>
  </si>
  <si>
    <t>COLUMN ANATOMY</t>
  </si>
  <si>
    <t>What job each register column does:</t>
  </si>
  <si>
    <t>Risk ID</t>
  </si>
  <si>
    <t>Stable reference (R-01...). Other documents (SoA, audit findings, incident reviews) cite these IDs — never renumber.</t>
  </si>
  <si>
    <t>Risk Description</t>
  </si>
  <si>
    <t>Written as event + consequence ('Phishing leads to credential compromise'), not a topic ('phishing'). A risk you can't describe as an event can't be scored.</t>
  </si>
  <si>
    <t>Asset / Process</t>
  </si>
  <si>
    <t>Links the risk to the asset inventory — what is actually at stake.</t>
  </si>
  <si>
    <t>Existing Controls</t>
  </si>
  <si>
    <t>What's in place TODAY. This is what separates inherent from residual thinking.</t>
  </si>
  <si>
    <t>L / I (1-5)</t>
  </si>
  <si>
    <t>Scored strictly against the Scales tab definitions. If you can't point at the definition, don't assign the number.</t>
  </si>
  <si>
    <t>Inherent Score</t>
  </si>
  <si>
    <t>Formula: L × I, before treatment. Color: red ≥12, amber 6-11, green &lt;6.</t>
  </si>
  <si>
    <t>Treatment</t>
  </si>
  <si>
    <t>One of the four options: Mitigate, Transfer, Avoid, Accept. A register where everything says 'Mitigate' hasn't engaged with risk appetite — documented acceptance is a feature.</t>
  </si>
  <si>
    <t>Treatment Actions</t>
  </si>
  <si>
    <t>The concrete plan. Measurable endpoints, not intentions.</t>
  </si>
  <si>
    <t>Risk Owner</t>
  </si>
  <si>
    <t>A BUSINESS role, not 'the security team'. The business owns risk; security facilitates. Ownership is what makes deadlines enforceable.</t>
  </si>
  <si>
    <t>Target Date / Status</t>
  </si>
  <si>
    <t>Treatment is a project: it has a deadline and a state.</t>
  </si>
  <si>
    <t>Residual L / I / Score</t>
  </si>
  <si>
    <t>Re-scored assuming treatment completes. The gap between inherent and residual is the value the treatment buys.</t>
  </si>
  <si>
    <t>Review Date</t>
  </si>
  <si>
    <t>Risks change. A register nobody revisits is a museum.</t>
  </si>
  <si>
    <t>APPETITE RULE</t>
  </si>
  <si>
    <t>NOVAtech accepts residual risk ≤ 6. Anything above 6 after treatment needs escalation or further treatment. This single number is what turns the register from a list into a decision tool.</t>
  </si>
  <si>
    <t>Scoring Scales &amp; Risk Criteria</t>
  </si>
  <si>
    <t>LIKELIHOOD SCALE</t>
  </si>
  <si>
    <t>Score</t>
  </si>
  <si>
    <t>Label</t>
  </si>
  <si>
    <t>Definition</t>
  </si>
  <si>
    <t>Almost certain</t>
  </si>
  <si>
    <t>Expected to occur within 12 months; occurs routinely in industry peers</t>
  </si>
  <si>
    <t>Likely</t>
  </si>
  <si>
    <t>Will probably occur within 12-24 months; has occurred before</t>
  </si>
  <si>
    <t>Possible</t>
  </si>
  <si>
    <t>Could occur within 2-3 years; industry incidents are common</t>
  </si>
  <si>
    <t>Unlikely</t>
  </si>
  <si>
    <t>Not expected, but possible; would require unusual circumstances</t>
  </si>
  <si>
    <t>Rare</t>
  </si>
  <si>
    <t>Exceptional circumstances only</t>
  </si>
  <si>
    <t>IMPACT SCALE</t>
  </si>
  <si>
    <t>Severe</t>
  </si>
  <si>
    <t>&gt;$1M loss OR regulatory breach with reporting obligation OR &gt;24h platform outage OR loss of major customer</t>
  </si>
  <si>
    <t>Major</t>
  </si>
  <si>
    <t>$250K-$1M loss OR exposure of customer PII OR 8-24h platform outage OR contractual SLA breach</t>
  </si>
  <si>
    <t>Moderate</t>
  </si>
  <si>
    <t>$50K-$250K loss OR internal data exposure OR 2-8h outage OR significant remediation effort</t>
  </si>
  <si>
    <t>Minor</t>
  </si>
  <si>
    <t>$10K-$50K loss OR brief degradation OR contained single-team disruption</t>
  </si>
  <si>
    <t>Negligible</t>
  </si>
  <si>
    <t>&lt;$10K; absorbed within normal operations</t>
  </si>
  <si>
    <t>RISK APPETITE</t>
  </si>
  <si>
    <t>Residual risk ≤ 6 is acceptable. Residual &gt; 6 requires further treatment or executive escalation. Score bands: 12-25 High (red), 6-11 Medium (amber), 1-5 Low (green).</t>
  </si>
  <si>
    <t>Threat Source</t>
  </si>
  <si>
    <t>Likelyhood</t>
  </si>
  <si>
    <t>Impact</t>
  </si>
  <si>
    <t>Target Date</t>
  </si>
  <si>
    <t>Status</t>
  </si>
  <si>
    <t>Res. L</t>
  </si>
  <si>
    <t>Res. I</t>
  </si>
  <si>
    <t>Residual Score</t>
  </si>
  <si>
    <t>R-01</t>
  </si>
  <si>
    <t>Phishing leads to credential compromise and unauthorized account access</t>
  </si>
  <si>
    <t>M365 / all staff</t>
  </si>
  <si>
    <t>External - criminal</t>
  </si>
  <si>
    <t>Email filtering; MFA on ~88% of accounts</t>
  </si>
  <si>
    <t>Mitigate</t>
  </si>
  <si>
    <t>Enforce MFA tenant-wide; exceptions require CISO risk acceptance with expiry; quarterly phishing simulations</t>
  </si>
  <si>
    <t>IT Manager</t>
  </si>
  <si>
    <t>2026-08-15</t>
  </si>
  <si>
    <t>In progress</t>
  </si>
  <si>
    <t>2026-10-01</t>
  </si>
  <si>
    <t>R-02</t>
  </si>
  <si>
    <t>Exploitation of unpatched critical vulnerability on internet-facing application</t>
  </si>
  <si>
    <t>Customer platform</t>
  </si>
  <si>
    <t>Monthly scans; ad-hoc patching</t>
  </si>
  <si>
    <t>SLA-based remediation (Critical=7d); CISA KEV monitoring; weekly external scans</t>
  </si>
  <si>
    <t>Eng Lead</t>
  </si>
  <si>
    <t>2026-08-31</t>
  </si>
  <si>
    <t>R-03</t>
  </si>
  <si>
    <t>Misconfigured S3 bucket exposes customer PII</t>
  </si>
  <si>
    <t>AWS storage</t>
  </si>
  <si>
    <t>Internal - error</t>
  </si>
  <si>
    <t>Manual configuration reviews</t>
  </si>
  <si>
    <t>Org-wide S3 public-access block; CSPM tooling with alerting</t>
  </si>
  <si>
    <t>Cloud Lead</t>
  </si>
  <si>
    <t>2026-09-15</t>
  </si>
  <si>
    <t>Open</t>
  </si>
  <si>
    <t>R-04</t>
  </si>
  <si>
    <t>Terminated employee retains system access</t>
  </si>
  <si>
    <t>IAM / HR process</t>
  </si>
  <si>
    <t>Internal - process</t>
  </si>
  <si>
    <t>Ticket-based deprovisioning</t>
  </si>
  <si>
    <t>HRIS-triggered auto-deprovisioning; weekly reconciliation until delivered; quarterly access reviews</t>
  </si>
  <si>
    <t>R-05</t>
  </si>
  <si>
    <t>Ransomware encrypts endpoints and servers</t>
  </si>
  <si>
    <t>Laptops / servers</t>
  </si>
  <si>
    <t>EDR deployed; backups exist but untested</t>
  </si>
  <si>
    <t>Quarterly restore testing; immutable backup tier; network segmentation for servers</t>
  </si>
  <si>
    <t>2026-09-30</t>
  </si>
  <si>
    <t>R-06</t>
  </si>
  <si>
    <t>Critical SaaS vendor breach exposes MapleTech data</t>
  </si>
  <si>
    <t>Payroll / CRM vendors</t>
  </si>
  <si>
    <t>External - supply chain</t>
  </si>
  <si>
    <t>Contracts only; no security assessment</t>
  </si>
  <si>
    <t>TPRM program: vendor tiering, SOC 2 review, DPAs with breach-notification SLAs</t>
  </si>
  <si>
    <t>GRC</t>
  </si>
  <si>
    <t>R-07</t>
  </si>
  <si>
    <t>Departing sales staff exfiltrate CRM customer data</t>
  </si>
  <si>
    <t>CRM data</t>
  </si>
  <si>
    <t>Internal - malicious</t>
  </si>
  <si>
    <t>Access logging</t>
  </si>
  <si>
    <t>DLP rules on bulk exports; offboarding checklist; least-privilege CRM roles</t>
  </si>
  <si>
    <t>Sales Ops</t>
  </si>
  <si>
    <t>R-08</t>
  </si>
  <si>
    <t>PIPEDA non-compliance: no breach process or data inventory</t>
  </si>
  <si>
    <t>Compliance</t>
  </si>
  <si>
    <t>Regulatory</t>
  </si>
  <si>
    <t>None formalized</t>
  </si>
  <si>
    <t>Privacy program: data mapping, breach-response runbook, RROSH assessment template</t>
  </si>
  <si>
    <t>R-09</t>
  </si>
  <si>
    <t>Unauthorized or failed production change causes outage</t>
  </si>
  <si>
    <t>Informal peer review</t>
  </si>
  <si>
    <t>Formal change management; CAB for high-risk changes; documented rollback plans</t>
  </si>
  <si>
    <t>R-10</t>
  </si>
  <si>
    <t>Loss or theft of unencrypted laptop containing customer data</t>
  </si>
  <si>
    <t>Endpoints</t>
  </si>
  <si>
    <t>External - opportunistic</t>
  </si>
  <si>
    <t>Disk encryption on ~80% of fleet</t>
  </si>
  <si>
    <t>Enforce FDE via MDM on 100% of fleet; monthly compliance verification</t>
  </si>
  <si>
    <t>2026-07-31</t>
  </si>
  <si>
    <t>R-11</t>
  </si>
  <si>
    <t>DDoS attack degrades customer platform availability</t>
  </si>
  <si>
    <t>Platform availability</t>
  </si>
  <si>
    <t>Basic CDN tier</t>
  </si>
  <si>
    <t>Upgrade DDoS protection tier; response runbook</t>
  </si>
  <si>
    <t>R-12</t>
  </si>
  <si>
    <t>Key-person dependency: single DevOps admin for production</t>
  </si>
  <si>
    <t>Operations</t>
  </si>
  <si>
    <t>Internal - structural</t>
  </si>
  <si>
    <t>None</t>
  </si>
  <si>
    <t>Cross-train second engineer; document runbooks; partial residual accepted</t>
  </si>
  <si>
    <t>CTO</t>
  </si>
  <si>
    <t>2026-10-31</t>
  </si>
  <si>
    <t>2027-01-01</t>
  </si>
  <si>
    <t>R-13</t>
  </si>
  <si>
    <t>Shadow IT: unapproved SaaS holding customer data</t>
  </si>
  <si>
    <t>Data governance</t>
  </si>
  <si>
    <t>SaaS discovery tooling; approval process embedded in AUP</t>
  </si>
  <si>
    <t>2026-12-01</t>
  </si>
  <si>
    <t>R-14</t>
  </si>
  <si>
    <t>Expired TLS certificate takes down customer API</t>
  </si>
  <si>
    <t>Platform</t>
  </si>
  <si>
    <t>Manual renewal calendar</t>
  </si>
  <si>
    <t>Automated certificate renewal with expiry monitoring and alerting</t>
  </si>
  <si>
    <t>R-15</t>
  </si>
  <si>
    <t>Physical intrusion into HQ server closet</t>
  </si>
  <si>
    <t>HQ infrastructure</t>
  </si>
  <si>
    <t>Badge access; no production systems on site</t>
  </si>
  <si>
    <t>Accept</t>
  </si>
  <si>
    <t>Risk formally accepted: low residual, no production assets at HQ. Signed by CTO 2026-07-10; review annually</t>
  </si>
  <si>
    <t>Facilities</t>
  </si>
  <si>
    <t>—</t>
  </si>
  <si>
    <t>Accepted</t>
  </si>
  <si>
    <t>2027-07-01</t>
  </si>
  <si>
    <t>LEGEND: Yellow cells = scoring inputs (edit these, per Scales tab definitions). Score columns are formulas (L×I) — do not type over them. Color bands: red ≥12 High, amber 6-11 Medium, green ≤5 Low (appetite: residual ≤6).</t>
  </si>
  <si>
    <t>Inherent Risk Heat Map (Likelihood × Impact)</t>
  </si>
  <si>
    <t>Cell shading = severity zone. IDs shown at inherent scores, before treatment.</t>
  </si>
  <si>
    <t>Impact 5</t>
  </si>
  <si>
    <t>R-02  R-03  R-05</t>
  </si>
  <si>
    <t>Impact 4</t>
  </si>
  <si>
    <t>R-06  R-08  R-10</t>
  </si>
  <si>
    <t>Impact 3</t>
  </si>
  <si>
    <t>R-07  R-12  R-13</t>
  </si>
  <si>
    <t>R-04  R-09</t>
  </si>
  <si>
    <t>Impact 2</t>
  </si>
  <si>
    <t>Impact 1</t>
  </si>
  <si>
    <t>Likelihood 1</t>
  </si>
  <si>
    <t>Likelihood 2</t>
  </si>
  <si>
    <t>Likelihood 3</t>
  </si>
  <si>
    <t>Likelihood 4</t>
  </si>
  <si>
    <t>Likelihood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</si>
</sst>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F4E79"/>
      <name val="Arial"/>
    </font>
    <font>
      <i/>
      <sz val="10.0"/>
      <color rgb="FF595959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5.0"/>
    <col customWidth="1" min="3" max="26" width="8.71"/>
  </cols>
  <sheetData>
    <row r="1">
      <c r="A1" s="1" t="s">
        <v>0</v>
      </c>
    </row>
    <row r="2">
      <c r="A2" s="2"/>
    </row>
    <row r="4">
      <c r="A4" s="3" t="s">
        <v>1</v>
      </c>
    </row>
    <row r="5">
      <c r="A5" s="4" t="s">
        <v>2</v>
      </c>
      <c r="B5" s="5" t="s">
        <v>3</v>
      </c>
    </row>
    <row r="6">
      <c r="A6" s="4" t="s">
        <v>4</v>
      </c>
      <c r="B6" s="5" t="s">
        <v>5</v>
      </c>
    </row>
    <row r="7">
      <c r="A7" s="4" t="s">
        <v>6</v>
      </c>
      <c r="B7" s="5" t="s">
        <v>7</v>
      </c>
    </row>
    <row r="8">
      <c r="A8" s="5"/>
      <c r="B8" s="5"/>
    </row>
    <row r="9">
      <c r="A9" s="4" t="s">
        <v>8</v>
      </c>
      <c r="B9" s="5" t="s">
        <v>9</v>
      </c>
    </row>
    <row r="10">
      <c r="A10" s="4" t="s">
        <v>10</v>
      </c>
      <c r="B10" s="5" t="s">
        <v>11</v>
      </c>
    </row>
    <row r="11">
      <c r="A11" s="4" t="s">
        <v>12</v>
      </c>
      <c r="B11" s="5" t="s">
        <v>13</v>
      </c>
    </row>
    <row r="12">
      <c r="A12" s="4" t="s">
        <v>14</v>
      </c>
      <c r="B12" s="5" t="s">
        <v>15</v>
      </c>
    </row>
    <row r="13">
      <c r="A13" s="4" t="s">
        <v>16</v>
      </c>
      <c r="B13" s="5" t="s">
        <v>17</v>
      </c>
    </row>
    <row r="14">
      <c r="A14" s="4" t="s">
        <v>18</v>
      </c>
      <c r="B14" s="5" t="s">
        <v>19</v>
      </c>
    </row>
    <row r="15">
      <c r="A15" s="4" t="s">
        <v>20</v>
      </c>
      <c r="B15" s="5" t="s">
        <v>21</v>
      </c>
    </row>
    <row r="16">
      <c r="A16" s="4" t="s">
        <v>22</v>
      </c>
      <c r="B16" s="5" t="s">
        <v>23</v>
      </c>
    </row>
    <row r="17">
      <c r="A17" s="4" t="s">
        <v>24</v>
      </c>
      <c r="B17" s="5" t="s">
        <v>25</v>
      </c>
    </row>
    <row r="18">
      <c r="A18" s="4" t="s">
        <v>26</v>
      </c>
      <c r="B18" s="5" t="s">
        <v>27</v>
      </c>
    </row>
    <row r="19">
      <c r="A19" s="4" t="s">
        <v>28</v>
      </c>
      <c r="B19" s="5" t="s">
        <v>29</v>
      </c>
    </row>
    <row r="20">
      <c r="A20" s="4" t="s">
        <v>30</v>
      </c>
      <c r="B20" s="5" t="s">
        <v>31</v>
      </c>
    </row>
    <row r="21" ht="15.75" customHeight="1">
      <c r="A21" s="4" t="s">
        <v>32</v>
      </c>
      <c r="B21" s="5" t="s">
        <v>33</v>
      </c>
    </row>
    <row r="22" ht="15.75" customHeight="1">
      <c r="A22" s="5"/>
      <c r="B22" s="5"/>
    </row>
    <row r="23" ht="15.75" customHeight="1">
      <c r="A23" s="4" t="s">
        <v>34</v>
      </c>
      <c r="B23" s="6" t="s">
        <v>35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0.0"/>
    <col customWidth="1" min="3" max="3" width="80.0"/>
    <col customWidth="1" min="4" max="26" width="8.71"/>
  </cols>
  <sheetData>
    <row r="1">
      <c r="A1" s="7" t="s">
        <v>36</v>
      </c>
    </row>
    <row r="3">
      <c r="A3" s="3" t="s">
        <v>37</v>
      </c>
    </row>
    <row r="4">
      <c r="A4" s="8" t="s">
        <v>38</v>
      </c>
      <c r="B4" s="8" t="s">
        <v>39</v>
      </c>
      <c r="C4" s="8" t="s">
        <v>40</v>
      </c>
    </row>
    <row r="5">
      <c r="A5" s="9">
        <v>5.0</v>
      </c>
      <c r="B5" s="9" t="s">
        <v>41</v>
      </c>
      <c r="C5" s="9" t="s">
        <v>42</v>
      </c>
    </row>
    <row r="6">
      <c r="A6" s="9">
        <v>4.0</v>
      </c>
      <c r="B6" s="9" t="s">
        <v>43</v>
      </c>
      <c r="C6" s="10" t="s">
        <v>44</v>
      </c>
    </row>
    <row r="7">
      <c r="A7" s="9">
        <v>3.0</v>
      </c>
      <c r="B7" s="9" t="s">
        <v>45</v>
      </c>
      <c r="C7" s="9" t="s">
        <v>46</v>
      </c>
    </row>
    <row r="8">
      <c r="A8" s="9">
        <v>2.0</v>
      </c>
      <c r="B8" s="9" t="s">
        <v>47</v>
      </c>
      <c r="C8" s="9" t="s">
        <v>48</v>
      </c>
    </row>
    <row r="9">
      <c r="A9" s="9">
        <v>1.0</v>
      </c>
      <c r="B9" s="9" t="s">
        <v>49</v>
      </c>
      <c r="C9" s="9" t="s">
        <v>50</v>
      </c>
    </row>
    <row r="11">
      <c r="A11" s="3" t="s">
        <v>51</v>
      </c>
    </row>
    <row r="12">
      <c r="A12" s="8" t="s">
        <v>38</v>
      </c>
      <c r="B12" s="8" t="s">
        <v>39</v>
      </c>
      <c r="C12" s="8" t="s">
        <v>40</v>
      </c>
    </row>
    <row r="13">
      <c r="A13" s="9">
        <v>5.0</v>
      </c>
      <c r="B13" s="9" t="s">
        <v>52</v>
      </c>
      <c r="C13" s="9" t="s">
        <v>53</v>
      </c>
    </row>
    <row r="14">
      <c r="A14" s="9">
        <v>4.0</v>
      </c>
      <c r="B14" s="9" t="s">
        <v>54</v>
      </c>
      <c r="C14" s="9" t="s">
        <v>55</v>
      </c>
    </row>
    <row r="15">
      <c r="A15" s="9">
        <v>3.0</v>
      </c>
      <c r="B15" s="9" t="s">
        <v>56</v>
      </c>
      <c r="C15" s="9" t="s">
        <v>57</v>
      </c>
    </row>
    <row r="16">
      <c r="A16" s="9">
        <v>2.0</v>
      </c>
      <c r="B16" s="9" t="s">
        <v>58</v>
      </c>
      <c r="C16" s="9" t="s">
        <v>59</v>
      </c>
    </row>
    <row r="17">
      <c r="A17" s="9">
        <v>1.0</v>
      </c>
      <c r="B17" s="9" t="s">
        <v>60</v>
      </c>
      <c r="C17" s="9" t="s">
        <v>61</v>
      </c>
    </row>
    <row r="19">
      <c r="A19" s="3" t="s">
        <v>62</v>
      </c>
    </row>
    <row r="20" ht="30.0" customHeight="1">
      <c r="A20" s="5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C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4" width="14.0"/>
    <col customWidth="1" min="5" max="5" width="30.0"/>
    <col customWidth="1" min="6" max="6" width="15.14"/>
    <col customWidth="1" min="7" max="7" width="9.86"/>
    <col customWidth="1" min="8" max="8" width="10.0"/>
    <col customWidth="1" min="9" max="9" width="11.0"/>
    <col customWidth="1" min="10" max="10" width="40.0"/>
    <col customWidth="1" min="11" max="13" width="12.0"/>
    <col customWidth="1" min="14" max="15" width="6.0"/>
    <col customWidth="1" min="16" max="16" width="10.0"/>
    <col customWidth="1" min="17" max="17" width="12.0"/>
    <col customWidth="1" min="18" max="26" width="8.71"/>
  </cols>
  <sheetData>
    <row r="1">
      <c r="A1" s="11" t="s">
        <v>10</v>
      </c>
      <c r="B1" s="11" t="s">
        <v>12</v>
      </c>
      <c r="C1" s="11" t="s">
        <v>14</v>
      </c>
      <c r="D1" s="11" t="s">
        <v>64</v>
      </c>
      <c r="E1" s="11" t="s">
        <v>16</v>
      </c>
      <c r="F1" s="12" t="s">
        <v>65</v>
      </c>
      <c r="G1" s="12" t="s">
        <v>66</v>
      </c>
      <c r="H1" s="11" t="s">
        <v>20</v>
      </c>
      <c r="I1" s="11" t="s">
        <v>22</v>
      </c>
      <c r="J1" s="11" t="s">
        <v>24</v>
      </c>
      <c r="K1" s="11" t="s">
        <v>26</v>
      </c>
      <c r="L1" s="11" t="s">
        <v>67</v>
      </c>
      <c r="M1" s="11" t="s">
        <v>68</v>
      </c>
      <c r="N1" s="11" t="s">
        <v>69</v>
      </c>
      <c r="O1" s="11" t="s">
        <v>70</v>
      </c>
      <c r="P1" s="11" t="s">
        <v>71</v>
      </c>
      <c r="Q1" s="11" t="s">
        <v>32</v>
      </c>
    </row>
    <row r="2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3">
        <v>4.0</v>
      </c>
      <c r="G2" s="13">
        <v>4.0</v>
      </c>
      <c r="H2" s="14">
        <f t="shared" ref="H2:H16" si="1">F2*G2</f>
        <v>16</v>
      </c>
      <c r="I2" s="9" t="s">
        <v>77</v>
      </c>
      <c r="J2" s="9" t="s">
        <v>78</v>
      </c>
      <c r="K2" s="9" t="s">
        <v>79</v>
      </c>
      <c r="L2" s="9" t="s">
        <v>80</v>
      </c>
      <c r="M2" s="9" t="s">
        <v>81</v>
      </c>
      <c r="N2" s="13">
        <v>2.0</v>
      </c>
      <c r="O2" s="13">
        <v>2.0</v>
      </c>
      <c r="P2" s="15">
        <f t="shared" ref="P2:P16" si="2">N2*O2</f>
        <v>4</v>
      </c>
      <c r="Q2" s="9" t="s">
        <v>82</v>
      </c>
    </row>
    <row r="3">
      <c r="A3" s="9" t="s">
        <v>83</v>
      </c>
      <c r="B3" s="9" t="s">
        <v>84</v>
      </c>
      <c r="C3" s="9" t="s">
        <v>85</v>
      </c>
      <c r="D3" s="9" t="s">
        <v>75</v>
      </c>
      <c r="E3" s="9" t="s">
        <v>86</v>
      </c>
      <c r="F3" s="13">
        <v>3.0</v>
      </c>
      <c r="G3" s="13">
        <v>5.0</v>
      </c>
      <c r="H3" s="14">
        <f t="shared" si="1"/>
        <v>15</v>
      </c>
      <c r="I3" s="9" t="s">
        <v>77</v>
      </c>
      <c r="J3" s="9" t="s">
        <v>87</v>
      </c>
      <c r="K3" s="9" t="s">
        <v>88</v>
      </c>
      <c r="L3" s="9" t="s">
        <v>89</v>
      </c>
      <c r="M3" s="9" t="s">
        <v>81</v>
      </c>
      <c r="N3" s="13">
        <v>1.0</v>
      </c>
      <c r="O3" s="13">
        <v>5.0</v>
      </c>
      <c r="P3" s="15">
        <f t="shared" si="2"/>
        <v>5</v>
      </c>
      <c r="Q3" s="9" t="s">
        <v>82</v>
      </c>
    </row>
    <row r="4">
      <c r="A4" s="9" t="s">
        <v>90</v>
      </c>
      <c r="B4" s="9" t="s">
        <v>91</v>
      </c>
      <c r="C4" s="9" t="s">
        <v>92</v>
      </c>
      <c r="D4" s="9" t="s">
        <v>93</v>
      </c>
      <c r="E4" s="9" t="s">
        <v>94</v>
      </c>
      <c r="F4" s="13">
        <v>3.0</v>
      </c>
      <c r="G4" s="13">
        <v>5.0</v>
      </c>
      <c r="H4" s="14">
        <f t="shared" si="1"/>
        <v>15</v>
      </c>
      <c r="I4" s="9" t="s">
        <v>77</v>
      </c>
      <c r="J4" s="9" t="s">
        <v>95</v>
      </c>
      <c r="K4" s="9" t="s">
        <v>96</v>
      </c>
      <c r="L4" s="9" t="s">
        <v>97</v>
      </c>
      <c r="M4" s="9" t="s">
        <v>98</v>
      </c>
      <c r="N4" s="13">
        <v>1.0</v>
      </c>
      <c r="O4" s="13">
        <v>5.0</v>
      </c>
      <c r="P4" s="15">
        <f t="shared" si="2"/>
        <v>5</v>
      </c>
      <c r="Q4" s="9" t="s">
        <v>82</v>
      </c>
    </row>
    <row r="5">
      <c r="A5" s="9" t="s">
        <v>99</v>
      </c>
      <c r="B5" s="9" t="s">
        <v>100</v>
      </c>
      <c r="C5" s="9" t="s">
        <v>101</v>
      </c>
      <c r="D5" s="9" t="s">
        <v>102</v>
      </c>
      <c r="E5" s="9" t="s">
        <v>103</v>
      </c>
      <c r="F5" s="13">
        <v>4.0</v>
      </c>
      <c r="G5" s="13">
        <v>3.0</v>
      </c>
      <c r="H5" s="14">
        <f t="shared" si="1"/>
        <v>12</v>
      </c>
      <c r="I5" s="9" t="s">
        <v>77</v>
      </c>
      <c r="J5" s="9" t="s">
        <v>104</v>
      </c>
      <c r="K5" s="9" t="s">
        <v>79</v>
      </c>
      <c r="L5" s="9" t="s">
        <v>89</v>
      </c>
      <c r="M5" s="9" t="s">
        <v>81</v>
      </c>
      <c r="N5" s="13">
        <v>1.0</v>
      </c>
      <c r="O5" s="13">
        <v>3.0</v>
      </c>
      <c r="P5" s="15">
        <f t="shared" si="2"/>
        <v>3</v>
      </c>
      <c r="Q5" s="9" t="s">
        <v>82</v>
      </c>
    </row>
    <row r="6">
      <c r="A6" s="9" t="s">
        <v>105</v>
      </c>
      <c r="B6" s="9" t="s">
        <v>106</v>
      </c>
      <c r="C6" s="9" t="s">
        <v>107</v>
      </c>
      <c r="D6" s="9" t="s">
        <v>75</v>
      </c>
      <c r="E6" s="9" t="s">
        <v>108</v>
      </c>
      <c r="F6" s="13">
        <v>3.0</v>
      </c>
      <c r="G6" s="13">
        <v>5.0</v>
      </c>
      <c r="H6" s="14">
        <f t="shared" si="1"/>
        <v>15</v>
      </c>
      <c r="I6" s="9" t="s">
        <v>77</v>
      </c>
      <c r="J6" s="9" t="s">
        <v>109</v>
      </c>
      <c r="K6" s="9" t="s">
        <v>79</v>
      </c>
      <c r="L6" s="9" t="s">
        <v>110</v>
      </c>
      <c r="M6" s="9" t="s">
        <v>98</v>
      </c>
      <c r="N6" s="13">
        <v>2.0</v>
      </c>
      <c r="O6" s="13">
        <v>3.0</v>
      </c>
      <c r="P6" s="16">
        <f t="shared" si="2"/>
        <v>6</v>
      </c>
      <c r="Q6" s="9" t="s">
        <v>82</v>
      </c>
    </row>
    <row r="7">
      <c r="A7" s="9" t="s">
        <v>111</v>
      </c>
      <c r="B7" s="9" t="s">
        <v>112</v>
      </c>
      <c r="C7" s="9" t="s">
        <v>113</v>
      </c>
      <c r="D7" s="9" t="s">
        <v>114</v>
      </c>
      <c r="E7" s="9" t="s">
        <v>115</v>
      </c>
      <c r="F7" s="13">
        <v>3.0</v>
      </c>
      <c r="G7" s="13">
        <v>4.0</v>
      </c>
      <c r="H7" s="14">
        <f t="shared" si="1"/>
        <v>12</v>
      </c>
      <c r="I7" s="9" t="s">
        <v>77</v>
      </c>
      <c r="J7" s="9" t="s">
        <v>116</v>
      </c>
      <c r="K7" s="9" t="s">
        <v>117</v>
      </c>
      <c r="L7" s="9" t="s">
        <v>110</v>
      </c>
      <c r="M7" s="9" t="s">
        <v>98</v>
      </c>
      <c r="N7" s="13">
        <v>2.0</v>
      </c>
      <c r="O7" s="13">
        <v>3.0</v>
      </c>
      <c r="P7" s="16">
        <f t="shared" si="2"/>
        <v>6</v>
      </c>
      <c r="Q7" s="9" t="s">
        <v>82</v>
      </c>
    </row>
    <row r="8">
      <c r="A8" s="9" t="s">
        <v>118</v>
      </c>
      <c r="B8" s="9" t="s">
        <v>119</v>
      </c>
      <c r="C8" s="9" t="s">
        <v>120</v>
      </c>
      <c r="D8" s="9" t="s">
        <v>121</v>
      </c>
      <c r="E8" s="9" t="s">
        <v>122</v>
      </c>
      <c r="F8" s="13">
        <v>3.0</v>
      </c>
      <c r="G8" s="13">
        <v>3.0</v>
      </c>
      <c r="H8" s="16">
        <f t="shared" si="1"/>
        <v>9</v>
      </c>
      <c r="I8" s="9" t="s">
        <v>77</v>
      </c>
      <c r="J8" s="9" t="s">
        <v>123</v>
      </c>
      <c r="K8" s="9" t="s">
        <v>124</v>
      </c>
      <c r="L8" s="9" t="s">
        <v>97</v>
      </c>
      <c r="M8" s="9" t="s">
        <v>98</v>
      </c>
      <c r="N8" s="13">
        <v>2.0</v>
      </c>
      <c r="O8" s="13">
        <v>2.0</v>
      </c>
      <c r="P8" s="15">
        <f t="shared" si="2"/>
        <v>4</v>
      </c>
      <c r="Q8" s="9" t="s">
        <v>82</v>
      </c>
    </row>
    <row r="9">
      <c r="A9" s="9" t="s">
        <v>125</v>
      </c>
      <c r="B9" s="9" t="s">
        <v>126</v>
      </c>
      <c r="C9" s="9" t="s">
        <v>127</v>
      </c>
      <c r="D9" s="9" t="s">
        <v>128</v>
      </c>
      <c r="E9" s="9" t="s">
        <v>129</v>
      </c>
      <c r="F9" s="13">
        <v>3.0</v>
      </c>
      <c r="G9" s="13">
        <v>4.0</v>
      </c>
      <c r="H9" s="14">
        <f t="shared" si="1"/>
        <v>12</v>
      </c>
      <c r="I9" s="9" t="s">
        <v>77</v>
      </c>
      <c r="J9" s="9" t="s">
        <v>130</v>
      </c>
      <c r="K9" s="9" t="s">
        <v>117</v>
      </c>
      <c r="L9" s="9" t="s">
        <v>89</v>
      </c>
      <c r="M9" s="9" t="s">
        <v>81</v>
      </c>
      <c r="N9" s="13">
        <v>1.0</v>
      </c>
      <c r="O9" s="13">
        <v>4.0</v>
      </c>
      <c r="P9" s="15">
        <f t="shared" si="2"/>
        <v>4</v>
      </c>
      <c r="Q9" s="9" t="s">
        <v>82</v>
      </c>
    </row>
    <row r="10">
      <c r="A10" s="9" t="s">
        <v>131</v>
      </c>
      <c r="B10" s="9" t="s">
        <v>132</v>
      </c>
      <c r="C10" s="9" t="s">
        <v>85</v>
      </c>
      <c r="D10" s="9" t="s">
        <v>102</v>
      </c>
      <c r="E10" s="9" t="s">
        <v>133</v>
      </c>
      <c r="F10" s="13">
        <v>4.0</v>
      </c>
      <c r="G10" s="13">
        <v>3.0</v>
      </c>
      <c r="H10" s="14">
        <f t="shared" si="1"/>
        <v>12</v>
      </c>
      <c r="I10" s="9" t="s">
        <v>77</v>
      </c>
      <c r="J10" s="9" t="s">
        <v>134</v>
      </c>
      <c r="K10" s="9" t="s">
        <v>88</v>
      </c>
      <c r="L10" s="9" t="s">
        <v>80</v>
      </c>
      <c r="M10" s="9" t="s">
        <v>81</v>
      </c>
      <c r="N10" s="13">
        <v>2.0</v>
      </c>
      <c r="O10" s="13">
        <v>3.0</v>
      </c>
      <c r="P10" s="16">
        <f t="shared" si="2"/>
        <v>6</v>
      </c>
      <c r="Q10" s="9" t="s">
        <v>82</v>
      </c>
    </row>
    <row r="11">
      <c r="A11" s="9" t="s">
        <v>135</v>
      </c>
      <c r="B11" s="9" t="s">
        <v>136</v>
      </c>
      <c r="C11" s="9" t="s">
        <v>137</v>
      </c>
      <c r="D11" s="9" t="s">
        <v>138</v>
      </c>
      <c r="E11" s="9" t="s">
        <v>139</v>
      </c>
      <c r="F11" s="13">
        <v>3.0</v>
      </c>
      <c r="G11" s="13">
        <v>4.0</v>
      </c>
      <c r="H11" s="14">
        <f t="shared" si="1"/>
        <v>12</v>
      </c>
      <c r="I11" s="9" t="s">
        <v>77</v>
      </c>
      <c r="J11" s="9" t="s">
        <v>140</v>
      </c>
      <c r="K11" s="9" t="s">
        <v>79</v>
      </c>
      <c r="L11" s="9" t="s">
        <v>141</v>
      </c>
      <c r="M11" s="9" t="s">
        <v>81</v>
      </c>
      <c r="N11" s="13">
        <v>1.0</v>
      </c>
      <c r="O11" s="13">
        <v>3.0</v>
      </c>
      <c r="P11" s="15">
        <f t="shared" si="2"/>
        <v>3</v>
      </c>
      <c r="Q11" s="9" t="s">
        <v>82</v>
      </c>
    </row>
    <row r="12">
      <c r="A12" s="9" t="s">
        <v>142</v>
      </c>
      <c r="B12" s="9" t="s">
        <v>143</v>
      </c>
      <c r="C12" s="9" t="s">
        <v>144</v>
      </c>
      <c r="D12" s="9" t="s">
        <v>75</v>
      </c>
      <c r="E12" s="9" t="s">
        <v>145</v>
      </c>
      <c r="F12" s="13">
        <v>2.0</v>
      </c>
      <c r="G12" s="13">
        <v>4.0</v>
      </c>
      <c r="H12" s="16">
        <f t="shared" si="1"/>
        <v>8</v>
      </c>
      <c r="I12" s="9" t="s">
        <v>77</v>
      </c>
      <c r="J12" s="9" t="s">
        <v>146</v>
      </c>
      <c r="K12" s="9" t="s">
        <v>96</v>
      </c>
      <c r="L12" s="9" t="s">
        <v>110</v>
      </c>
      <c r="M12" s="9" t="s">
        <v>98</v>
      </c>
      <c r="N12" s="13">
        <v>1.0</v>
      </c>
      <c r="O12" s="13">
        <v>4.0</v>
      </c>
      <c r="P12" s="15">
        <f t="shared" si="2"/>
        <v>4</v>
      </c>
      <c r="Q12" s="9" t="s">
        <v>82</v>
      </c>
    </row>
    <row r="13">
      <c r="A13" s="9" t="s">
        <v>147</v>
      </c>
      <c r="B13" s="9" t="s">
        <v>148</v>
      </c>
      <c r="C13" s="9" t="s">
        <v>149</v>
      </c>
      <c r="D13" s="9" t="s">
        <v>150</v>
      </c>
      <c r="E13" s="9" t="s">
        <v>151</v>
      </c>
      <c r="F13" s="13">
        <v>3.0</v>
      </c>
      <c r="G13" s="13">
        <v>3.0</v>
      </c>
      <c r="H13" s="16">
        <f t="shared" si="1"/>
        <v>9</v>
      </c>
      <c r="I13" s="9" t="s">
        <v>77</v>
      </c>
      <c r="J13" s="9" t="s">
        <v>152</v>
      </c>
      <c r="K13" s="9" t="s">
        <v>153</v>
      </c>
      <c r="L13" s="9" t="s">
        <v>154</v>
      </c>
      <c r="M13" s="9" t="s">
        <v>98</v>
      </c>
      <c r="N13" s="13">
        <v>2.0</v>
      </c>
      <c r="O13" s="13">
        <v>3.0</v>
      </c>
      <c r="P13" s="16">
        <f t="shared" si="2"/>
        <v>6</v>
      </c>
      <c r="Q13" s="9" t="s">
        <v>155</v>
      </c>
    </row>
    <row r="14">
      <c r="A14" s="9" t="s">
        <v>156</v>
      </c>
      <c r="B14" s="9" t="s">
        <v>157</v>
      </c>
      <c r="C14" s="9" t="s">
        <v>158</v>
      </c>
      <c r="D14" s="9" t="s">
        <v>102</v>
      </c>
      <c r="E14" s="9" t="s">
        <v>151</v>
      </c>
      <c r="F14" s="13">
        <v>3.0</v>
      </c>
      <c r="G14" s="13">
        <v>3.0</v>
      </c>
      <c r="H14" s="16">
        <f t="shared" si="1"/>
        <v>9</v>
      </c>
      <c r="I14" s="9" t="s">
        <v>77</v>
      </c>
      <c r="J14" s="9" t="s">
        <v>159</v>
      </c>
      <c r="K14" s="9" t="s">
        <v>117</v>
      </c>
      <c r="L14" s="9" t="s">
        <v>110</v>
      </c>
      <c r="M14" s="9" t="s">
        <v>98</v>
      </c>
      <c r="N14" s="13">
        <v>2.0</v>
      </c>
      <c r="O14" s="13">
        <v>2.0</v>
      </c>
      <c r="P14" s="15">
        <f t="shared" si="2"/>
        <v>4</v>
      </c>
      <c r="Q14" s="9" t="s">
        <v>160</v>
      </c>
    </row>
    <row r="15">
      <c r="A15" s="9" t="s">
        <v>161</v>
      </c>
      <c r="B15" s="9" t="s">
        <v>162</v>
      </c>
      <c r="C15" s="9" t="s">
        <v>163</v>
      </c>
      <c r="D15" s="9" t="s">
        <v>102</v>
      </c>
      <c r="E15" s="9" t="s">
        <v>164</v>
      </c>
      <c r="F15" s="13">
        <v>2.0</v>
      </c>
      <c r="G15" s="13">
        <v>3.0</v>
      </c>
      <c r="H15" s="16">
        <f t="shared" si="1"/>
        <v>6</v>
      </c>
      <c r="I15" s="9" t="s">
        <v>77</v>
      </c>
      <c r="J15" s="9" t="s">
        <v>165</v>
      </c>
      <c r="K15" s="9" t="s">
        <v>88</v>
      </c>
      <c r="L15" s="9" t="s">
        <v>80</v>
      </c>
      <c r="M15" s="9" t="s">
        <v>81</v>
      </c>
      <c r="N15" s="13">
        <v>1.0</v>
      </c>
      <c r="O15" s="13">
        <v>2.0</v>
      </c>
      <c r="P15" s="15">
        <f t="shared" si="2"/>
        <v>2</v>
      </c>
      <c r="Q15" s="9" t="s">
        <v>155</v>
      </c>
    </row>
    <row r="16">
      <c r="A16" s="9" t="s">
        <v>166</v>
      </c>
      <c r="B16" s="9" t="s">
        <v>167</v>
      </c>
      <c r="C16" s="9" t="s">
        <v>168</v>
      </c>
      <c r="D16" s="9" t="s">
        <v>138</v>
      </c>
      <c r="E16" s="9" t="s">
        <v>169</v>
      </c>
      <c r="F16" s="13">
        <v>2.0</v>
      </c>
      <c r="G16" s="13">
        <v>2.0</v>
      </c>
      <c r="H16" s="15">
        <f t="shared" si="1"/>
        <v>4</v>
      </c>
      <c r="I16" s="9" t="s">
        <v>170</v>
      </c>
      <c r="J16" s="9" t="s">
        <v>171</v>
      </c>
      <c r="K16" s="9" t="s">
        <v>172</v>
      </c>
      <c r="L16" s="9" t="s">
        <v>173</v>
      </c>
      <c r="M16" s="9" t="s">
        <v>174</v>
      </c>
      <c r="N16" s="13">
        <v>2.0</v>
      </c>
      <c r="O16" s="13">
        <v>2.0</v>
      </c>
      <c r="P16" s="15">
        <f t="shared" si="2"/>
        <v>4</v>
      </c>
      <c r="Q16" s="9" t="s">
        <v>175</v>
      </c>
    </row>
    <row r="18" ht="27.75" customHeight="1">
      <c r="B18" s="17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8:J1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6" width="16.0"/>
    <col customWidth="1" min="7" max="26" width="8.71"/>
  </cols>
  <sheetData>
    <row r="1">
      <c r="A1" s="7" t="s">
        <v>177</v>
      </c>
    </row>
    <row r="2">
      <c r="A2" s="18" t="s">
        <v>178</v>
      </c>
    </row>
    <row r="4" ht="42.0" customHeight="1">
      <c r="A4" s="19" t="s">
        <v>179</v>
      </c>
      <c r="B4" s="15"/>
      <c r="C4" s="16"/>
      <c r="D4" s="14" t="s">
        <v>180</v>
      </c>
      <c r="E4" s="14"/>
      <c r="F4" s="14"/>
    </row>
    <row r="5" ht="42.0" customHeight="1">
      <c r="A5" s="19" t="s">
        <v>181</v>
      </c>
      <c r="B5" s="15"/>
      <c r="C5" s="16" t="s">
        <v>142</v>
      </c>
      <c r="D5" s="14" t="s">
        <v>182</v>
      </c>
      <c r="E5" s="14" t="s">
        <v>72</v>
      </c>
      <c r="F5" s="14"/>
    </row>
    <row r="6" ht="42.0" customHeight="1">
      <c r="A6" s="19" t="s">
        <v>183</v>
      </c>
      <c r="B6" s="15"/>
      <c r="C6" s="16" t="s">
        <v>161</v>
      </c>
      <c r="D6" s="16" t="s">
        <v>184</v>
      </c>
      <c r="E6" s="14" t="s">
        <v>185</v>
      </c>
      <c r="F6" s="14"/>
    </row>
    <row r="7" ht="42.0" customHeight="1">
      <c r="A7" s="19" t="s">
        <v>186</v>
      </c>
      <c r="B7" s="15"/>
      <c r="C7" s="15" t="s">
        <v>166</v>
      </c>
      <c r="D7" s="16"/>
      <c r="E7" s="16"/>
      <c r="F7" s="16"/>
    </row>
    <row r="8" ht="42.0" customHeight="1">
      <c r="A8" s="19" t="s">
        <v>187</v>
      </c>
      <c r="B8" s="15"/>
      <c r="C8" s="15"/>
      <c r="D8" s="15"/>
      <c r="E8" s="15"/>
      <c r="F8" s="15"/>
    </row>
    <row r="9">
      <c r="B9" s="19" t="s">
        <v>188</v>
      </c>
      <c r="C9" s="19" t="s">
        <v>189</v>
      </c>
      <c r="D9" s="19" t="s">
        <v>190</v>
      </c>
      <c r="E9" s="19" t="s">
        <v>191</v>
      </c>
      <c r="F9" s="19" t="s"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