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 Structure" sheetId="1" state="visible" r:id="rId3"/>
    <sheet name="Data Classification" sheetId="2" state="visible" r:id="rId4"/>
    <sheet name="Criticality Scale" sheetId="3" state="visible" r:id="rId5"/>
    <sheet name="Asset Inventory" sheetId="4" state="visible" r:id="rId6"/>
    <sheet name="Coverage Summar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<sst xmlns="http://schemas.openxmlformats.org/spreadsheetml/2006/main" count="312" uniqueCount="188">
  <si>
    <t xml:space="preserve">NOVAtech Inc. - Asset Inventory (CIS Controls 1 &amp; 2)</t>
  </si>
  <si>
    <t xml:space="preserve">GRC Practicum - Project 4 | NOVAtech Inc. is a fictional company; simulated for demonstration.</t>
  </si>
  <si>
    <t xml:space="preserve">WHY THIS EXISTS</t>
  </si>
  <si>
    <t xml:space="preserve">You cannot protect what you do not know you have. Every downstream ISMS artifact (risk register, SoA, BIA, audit scope, incident scope) starts with this inventory. CIS Controls v8 makes assets Control 1 and 2 for exactly this reason.</t>
  </si>
  <si>
    <t xml:space="preserve">HOW THIS WORKBOOK IS STRUCTURED</t>
  </si>
  <si>
    <t xml:space="preserve">Tab: Data Classification</t>
  </si>
  <si>
    <t xml:space="preserve">Defines what Restricted / Confidential / Internal / Public each mean. Classification without definitions is decoration.</t>
  </si>
  <si>
    <t xml:space="preserve">Tab: Criticality Scale</t>
  </si>
  <si>
    <t xml:space="preserve">Defines what Critical / High / Medium / Low each mean, in operational terms.</t>
  </si>
  <si>
    <t xml:space="preserve">Tab: Asset Inventory</t>
  </si>
  <si>
    <t xml:space="preserve">Every in-scope asset with owner, data classification, and criticality. Filterable table.</t>
  </si>
  <si>
    <t xml:space="preserve">Tab: Coverage Summary</t>
  </si>
  <si>
    <t xml:space="preserve">Formula-driven counts by classification and criticality. Leadership one-page view.</t>
  </si>
  <si>
    <t xml:space="preserve">COLUMN ANATOMY</t>
  </si>
  <si>
    <t xml:space="preserve">Asset ID</t>
  </si>
  <si>
    <t xml:space="preserve">Stable reference (A-01...). Other artifacts (risk register, SoA) reference these; never renumber.</t>
  </si>
  <si>
    <t xml:space="preserve">Asset Name</t>
  </si>
  <si>
    <t xml:space="preserve">How the asset is known internally. Match tickets, monitoring, contracts.</t>
  </si>
  <si>
    <t xml:space="preserve">Type</t>
  </si>
  <si>
    <t xml:space="preserve">SaaS / Cloud infra / Application / Endpoint / Network / etc. Feeds asset-family reporting.</t>
  </si>
  <si>
    <t xml:space="preserve">Owner</t>
  </si>
  <si>
    <t xml:space="preserve">A named role, not 'IT'. Ownership is what makes lifecycle decisions happen.</t>
  </si>
  <si>
    <t xml:space="preserve">Location</t>
  </si>
  <si>
    <t xml:space="preserve">Where the asset physically or logically lives. Regulatory relevance for privacy laws.</t>
  </si>
  <si>
    <t xml:space="preserve">Data Classification</t>
  </si>
  <si>
    <t xml:space="preserve">Highest classification of data handled. Drives control selection.</t>
  </si>
  <si>
    <t xml:space="preserve">Criticality</t>
  </si>
  <si>
    <t xml:space="preserve">Business impact of the asset failing or being compromised. Drives RTO/RPO and treatment priority.</t>
  </si>
  <si>
    <t xml:space="preserve">In-scope for ISMS</t>
  </si>
  <si>
    <t xml:space="preserve">Yes/No, with rationale. This becomes the ISMS scope boundary.</t>
  </si>
  <si>
    <t xml:space="preserve">Notes</t>
  </si>
  <si>
    <t xml:space="preserve">Judgment calls, dependencies, review flags.</t>
  </si>
  <si>
    <t xml:space="preserve">REVIEW CADENCE</t>
  </si>
  <si>
    <t xml:space="preserve">Full inventory review quarterly; ownership check semi-annual; classification review annual or on data change.</t>
  </si>
  <si>
    <t xml:space="preserve">Data Classification Scheme</t>
  </si>
  <si>
    <t xml:space="preserve">What each classification means and the handling implications.</t>
  </si>
  <si>
    <t xml:space="preserve">Classification</t>
  </si>
  <si>
    <t xml:space="preserve">Examples</t>
  </si>
  <si>
    <t xml:space="preserve">Definition and handling</t>
  </si>
  <si>
    <t xml:space="preserve">Restricted</t>
  </si>
  <si>
    <t xml:space="preserve">Card data (tokenized), employee SIN + banking, authentication secrets, encryption keys</t>
  </si>
  <si>
    <t xml:space="preserve">Highest classification. Regulatory or contractual protection required. Access strictly need-to-know, MFA, logged, encrypted at rest and in transit. No local storage on endpoints.</t>
  </si>
  <si>
    <t xml:space="preserve">Confidential - PII</t>
  </si>
  <si>
    <t xml:space="preserve">Customer names, emails, phone, billing address; employee HR data</t>
  </si>
  <si>
    <t xml:space="preserve">Personal data under PIPEDA. Access role-based. Encryption at rest and in transit. Retention documented, breach reporting required if RROSH met.</t>
  </si>
  <si>
    <t xml:space="preserve">Confidential - IP</t>
  </si>
  <si>
    <t xml:space="preserve">Source code, roadmaps, security documentation, pricing models</t>
  </si>
  <si>
    <t xml:space="preserve">Business-sensitive non-personal. Access by role. Egress controls; do not share externally without approval.</t>
  </si>
  <si>
    <t xml:space="preserve">Internal</t>
  </si>
  <si>
    <t xml:space="preserve">Internal communications, general documentation, most tickets, org data</t>
  </si>
  <si>
    <t xml:space="preserve">Not for external release, minimal handling requirements. Default classification.</t>
  </si>
  <si>
    <t xml:space="preserve">Public</t>
  </si>
  <si>
    <t xml:space="preserve">Marketing website content, published pricing, blog posts</t>
  </si>
  <si>
    <t xml:space="preserve">Approved for external distribution. No handling restrictions beyond integrity.</t>
  </si>
  <si>
    <t xml:space="preserve">Asset Criticality Scale</t>
  </si>
  <si>
    <t xml:space="preserve">Business impact if the asset is lost, degraded, or compromised.</t>
  </si>
  <si>
    <t xml:space="preserve">Impact of failure</t>
  </si>
  <si>
    <t xml:space="preserve">Handling implications</t>
  </si>
  <si>
    <t xml:space="preserve">Critical</t>
  </si>
  <si>
    <t xml:space="preserve">Revenue-generating or regulatory-mandated; outage &gt;4h is a material customer/business event</t>
  </si>
  <si>
    <t xml:space="preserve">Highest treatment priority; must appear in BIA with RTO/RPO; dependency of any downstream service in scope</t>
  </si>
  <si>
    <t xml:space="preserve">High</t>
  </si>
  <si>
    <t xml:space="preserve">Significant operational impact within one business day; supports customer-facing or revenue functions</t>
  </si>
  <si>
    <t xml:space="preserve">Documented monitoring, backup, and access control; secondary responder trained</t>
  </si>
  <si>
    <t xml:space="preserve">Medium</t>
  </si>
  <si>
    <t xml:space="preserve">Internal productivity impact; workarounds exist for a few days</t>
  </si>
  <si>
    <t xml:space="preserve">Standard controls; owner monitors</t>
  </si>
  <si>
    <t xml:space="preserve">Low</t>
  </si>
  <si>
    <t xml:space="preserve">Minor or no operational impact; easily replaced or bypassed</t>
  </si>
  <si>
    <t xml:space="preserve">Basic hygiene only; may be candidate for deprovisioning</t>
  </si>
  <si>
    <t xml:space="preserve">A-01</t>
  </si>
  <si>
    <t xml:space="preserve">Customer platform (production)</t>
  </si>
  <si>
    <t xml:space="preserve">Application</t>
  </si>
  <si>
    <t xml:space="preserve">Eng Lead</t>
  </si>
  <si>
    <t xml:space="preserve">AWS ca-central-1</t>
  </si>
  <si>
    <t xml:space="preserve">Yes</t>
  </si>
  <si>
    <t xml:space="preserve">Core revenue-generating service; core ISMS scope</t>
  </si>
  <si>
    <t xml:space="preserve">A-02</t>
  </si>
  <si>
    <t xml:space="preserve">PostgreSQL production cluster</t>
  </si>
  <si>
    <t xml:space="preserve">Database</t>
  </si>
  <si>
    <t xml:space="preserve">AWS RDS ca-central-1</t>
  </si>
  <si>
    <t xml:space="preserve">Customer PII datastore; primary source for R-03</t>
  </si>
  <si>
    <t xml:space="preserve">A-03</t>
  </si>
  <si>
    <t xml:space="preserve">S3 customer file buckets</t>
  </si>
  <si>
    <t xml:space="preserve">Cloud storage</t>
  </si>
  <si>
    <t xml:space="preserve">Cloud Lead</t>
  </si>
  <si>
    <t xml:space="preserve">Public-access misconfiguration risk (R-03)</t>
  </si>
  <si>
    <t xml:space="preserve">A-04</t>
  </si>
  <si>
    <t xml:space="preserve">Stripe payment integration</t>
  </si>
  <si>
    <t xml:space="preserve">External service</t>
  </si>
  <si>
    <t xml:space="preserve">Finance</t>
  </si>
  <si>
    <t xml:space="preserve">Stripe SaaS</t>
  </si>
  <si>
    <t xml:space="preserve">Card data tokenized; PCI scope reduction via Stripe</t>
  </si>
  <si>
    <t xml:space="preserve">A-05</t>
  </si>
  <si>
    <t xml:space="preserve">M365 tenant</t>
  </si>
  <si>
    <t xml:space="preserve">SaaS</t>
  </si>
  <si>
    <t xml:space="preserve">IT Manager</t>
  </si>
  <si>
    <t xml:space="preserve">Microsoft cloud (Canada)</t>
  </si>
  <si>
    <t xml:space="preserve">Confidential</t>
  </si>
  <si>
    <t xml:space="preserve">Email, SharePoint, Teams; primary IAM sync target</t>
  </si>
  <si>
    <t xml:space="preserve">A-06</t>
  </si>
  <si>
    <t xml:space="preserve">Okta (SSO/IdP)</t>
  </si>
  <si>
    <t xml:space="preserve">Okta cloud</t>
  </si>
  <si>
    <t xml:space="preserve">Authoritative identity; single most audited asset</t>
  </si>
  <si>
    <t xml:space="preserve">A-07</t>
  </si>
  <si>
    <t xml:space="preserve">AWS management account</t>
  </si>
  <si>
    <t xml:space="preserve">Cloud infra</t>
  </si>
  <si>
    <t xml:space="preserve">AWS</t>
  </si>
  <si>
    <t xml:space="preserve">Root and org-admin scope; MFA, break-glass procedures</t>
  </si>
  <si>
    <t xml:space="preserve">A-08</t>
  </si>
  <si>
    <t xml:space="preserve">Immutable backup vault</t>
  </si>
  <si>
    <t xml:space="preserve">AWS Backup vault</t>
  </si>
  <si>
    <t xml:space="preserve">Ransomware recovery boundary (R-05); quarterly restore test</t>
  </si>
  <si>
    <t xml:space="preserve">A-09</t>
  </si>
  <si>
    <t xml:space="preserve">Admin console (internal)</t>
  </si>
  <si>
    <t xml:space="preserve">VPN-restricted; internet-exposure gap found in threat model (R-17)</t>
  </si>
  <si>
    <t xml:space="preserve">A-10</t>
  </si>
  <si>
    <t xml:space="preserve">GitHub organization</t>
  </si>
  <si>
    <t xml:space="preserve">GitHub cloud</t>
  </si>
  <si>
    <t xml:space="preserve">Source code, secrets scanning, PR review is a key control (CM-01)</t>
  </si>
  <si>
    <t xml:space="preserve">A-11</t>
  </si>
  <si>
    <t xml:space="preserve">CI/CD (GitHub Actions)</t>
  </si>
  <si>
    <t xml:space="preserve">Service</t>
  </si>
  <si>
    <t xml:space="preserve">Deployment path; break-glass audited</t>
  </si>
  <si>
    <t xml:space="preserve">A-12</t>
  </si>
  <si>
    <t xml:space="preserve">Salesforce CRM</t>
  </si>
  <si>
    <t xml:space="preserve">Sales Ops</t>
  </si>
  <si>
    <t xml:space="preserve">Salesforce cloud</t>
  </si>
  <si>
    <t xml:space="preserve">Customer PII; DLP on bulk export (R-07 treatment)</t>
  </si>
  <si>
    <t xml:space="preserve">A-13</t>
  </si>
  <si>
    <t xml:space="preserve">PayCo (Payroll SaaS)</t>
  </si>
  <si>
    <t xml:space="preserve">HR</t>
  </si>
  <si>
    <t xml:space="preserve">PayCo (Montreal, QC)</t>
  </si>
  <si>
    <t xml:space="preserve">Employee SIN/banking; Tier-1 vendor (Project 9 assessment target)</t>
  </si>
  <si>
    <t xml:space="preserve">A-14</t>
  </si>
  <si>
    <t xml:space="preserve">Splunk (SIEM)</t>
  </si>
  <si>
    <t xml:space="preserve">Sec Ops</t>
  </si>
  <si>
    <t xml:space="preserve">Monitoring platform; A.8.15/A.8.16 evidence source</t>
  </si>
  <si>
    <t xml:space="preserve">A-15</t>
  </si>
  <si>
    <t xml:space="preserve">EDR console (SaaS)</t>
  </si>
  <si>
    <t xml:space="preserve">Vendor cloud</t>
  </si>
  <si>
    <t xml:space="preserve">Endpoint telemetry and containment; A.8.7</t>
  </si>
  <si>
    <t xml:space="preserve">A-16</t>
  </si>
  <si>
    <t xml:space="preserve">Corporate VPN</t>
  </si>
  <si>
    <t xml:space="preserve">Network</t>
  </si>
  <si>
    <t xml:space="preserve">Path to admin console; MFA enforced</t>
  </si>
  <si>
    <t xml:space="preserve">A-17</t>
  </si>
  <si>
    <t xml:space="preserve">Staff laptops (200)</t>
  </si>
  <si>
    <t xml:space="preserve">Endpoint</t>
  </si>
  <si>
    <t xml:space="preserve">Distributed (remote workforce)</t>
  </si>
  <si>
    <t xml:space="preserve">MDM-managed; FDE enforcement in progress (R-10)</t>
  </si>
  <si>
    <t xml:space="preserve">A-18</t>
  </si>
  <si>
    <t xml:space="preserve">Dev/QA environment</t>
  </si>
  <si>
    <t xml:space="preserve">AWS separate account</t>
  </si>
  <si>
    <t xml:space="preserve">Internal (no prod data)</t>
  </si>
  <si>
    <t xml:space="preserve">Prod data must not land here; enforced via config</t>
  </si>
  <si>
    <t xml:space="preserve">A-19</t>
  </si>
  <si>
    <t xml:space="preserve">Confluence and Jira</t>
  </si>
  <si>
    <t xml:space="preserve">Atlassian cloud</t>
  </si>
  <si>
    <t xml:space="preserve">Documentation; documented-information store (Clause 7.5)</t>
  </si>
  <si>
    <t xml:space="preserve">A-20</t>
  </si>
  <si>
    <t xml:space="preserve">Zoom</t>
  </si>
  <si>
    <t xml:space="preserve">Zoom cloud</t>
  </si>
  <si>
    <t xml:space="preserve">Meetings; recordings retention policy</t>
  </si>
  <si>
    <t xml:space="preserve">A-21</t>
  </si>
  <si>
    <t xml:space="preserve">Office network and access point</t>
  </si>
  <si>
    <t xml:space="preserve">Facilities / IT</t>
  </si>
  <si>
    <t xml:space="preserve">Edmonton HQ</t>
  </si>
  <si>
    <t xml:space="preserve">No production systems on site; guest network segregated</t>
  </si>
  <si>
    <t xml:space="preserve">A-22</t>
  </si>
  <si>
    <t xml:space="preserve">Server closet switch (HQ)</t>
  </si>
  <si>
    <t xml:space="preserve">Hardware</t>
  </si>
  <si>
    <t xml:space="preserve">R-15 accepted; no prod dependency</t>
  </si>
  <si>
    <t xml:space="preserve">A-23</t>
  </si>
  <si>
    <t xml:space="preserve">Marketing website</t>
  </si>
  <si>
    <t xml:space="preserve">Marketing</t>
  </si>
  <si>
    <t xml:space="preserve">Vercel</t>
  </si>
  <si>
    <t xml:space="preserve">No</t>
  </si>
  <si>
    <t xml:space="preserve">Public content only; hosted separately; formally excluded from ISMS scope</t>
  </si>
  <si>
    <t xml:space="preserve">Inventory Coverage Summary</t>
  </si>
  <si>
    <t xml:space="preserve">Formula-driven counts from the Asset Inventory tab. Leadership snapshot.</t>
  </si>
  <si>
    <t xml:space="preserve">By Data Classification</t>
  </si>
  <si>
    <t xml:space="preserve">ISMS Scope</t>
  </si>
  <si>
    <t xml:space="preserve">Count</t>
  </si>
  <si>
    <t xml:space="preserve">In-scope</t>
  </si>
  <si>
    <t xml:space="preserve">Excluded</t>
  </si>
  <si>
    <t xml:space="preserve">Total</t>
  </si>
  <si>
    <t xml:space="preserve">By Criticality</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</si>
</sst>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i val="true"/>
      <sz val="10"/>
      <color rgb="FF595959"/>
      <name val="Arial"/>
      <family val="0"/>
      <charset val="1"/>
    </font>
    <font>
      <b val="true"/>
      <sz val="10"/>
      <name val="Arial"/>
      <family val="0"/>
      <charset val="1"/>
    </font>
    <font>
      <sz val="10"/>
      <name val="Arial"/>
      <family val="0"/>
      <charset val="1"/>
    </font>
    <font>
      <b val="true"/>
      <sz val="10"/>
      <color rgb="FFFFFFFF"/>
      <name val="Arial"/>
      <family val="0"/>
      <charset val="1"/>
    </font>
    <font>
      <i val="true"/>
      <sz val="10"/>
      <color rgb="FFC00000"/>
      <name val="Arial"/>
      <family val="0"/>
      <charset val="1"/>
    </font>
  </fonts>
  <fills count="7">
    <fill>
      <patternFill patternType="none"/>
    </fill>
    <fill>
      <patternFill patternType="gray125"/>
    </fill>
    <fill>
      <patternFill patternType="solid">
        <fgColor rgb="FF1F4E79"/>
        <bgColor rgb="FF003366"/>
      </patternFill>
    </fill>
    <fill>
      <patternFill patternType="solid">
        <fgColor rgb="FFF4CCCC"/>
        <bgColor rgb="FFFCE5CD"/>
      </patternFill>
    </fill>
    <fill>
      <patternFill patternType="solid">
        <fgColor rgb="FFFCE5CD"/>
        <bgColor rgb="FFFFF2CC"/>
      </patternFill>
    </fill>
    <fill>
      <patternFill patternType="solid">
        <fgColor rgb="FFFFF2CC"/>
        <bgColor rgb="FFFCE5CD"/>
      </patternFill>
    </fill>
    <fill>
      <patternFill patternType="solid">
        <fgColor rgb="FFD9EAD3"/>
        <bgColor rgb="FFFCE5CD"/>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F4CCCC"/>
          <bgColor rgb="FF000000"/>
        </patternFill>
      </fill>
    </dxf>
    <dxf>
      <fill>
        <patternFill patternType="solid">
          <fgColor rgb="FFFCE5CD"/>
          <bgColor rgb="FF000000"/>
        </patternFill>
      </fill>
    </dxf>
    <dxf>
      <fill>
        <patternFill patternType="solid">
          <fgColor rgb="FFFFF2CC"/>
          <bgColor rgb="FF000000"/>
        </patternFill>
      </fill>
    </dxf>
    <dxf>
      <fill>
        <patternFill patternType="solid">
          <fgColor rgb="FFC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4CCCC"/>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Inventory" displayName="Inventory" ref="A1:I24" headerRowCount="1" totalsRowCount="0" totalsRowShown="0">
  <autoFilter ref="A1:I24"/>
  <tableColumns count="9">
    <tableColumn id="1" name="Asset ID"/>
    <tableColumn id="2" name="Asset Name"/>
    <tableColumn id="3" name="Type"/>
    <tableColumn id="4" name="Owner"/>
    <tableColumn id="5" name="Location"/>
    <tableColumn id="6" name="Data Classification"/>
    <tableColumn id="7" name="Criticality"/>
    <tableColumn id="8" name="In-scope for ISMS"/>
    <tableColumn id="9" name="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5"/>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35.05" hidden="false" customHeight="false" outlineLevel="0" collapsed="false">
      <c r="A5" s="4"/>
      <c r="B5" s="4" t="s">
        <v>3</v>
      </c>
    </row>
    <row r="6" customFormat="false" ht="15" hidden="false" customHeight="false" outlineLevel="0" collapsed="false">
      <c r="A6" s="4"/>
      <c r="B6" s="4"/>
    </row>
    <row r="7" customFormat="false" ht="23.85" hidden="false" customHeight="false" outlineLevel="0" collapsed="false">
      <c r="A7" s="5" t="s">
        <v>4</v>
      </c>
      <c r="B7" s="4"/>
    </row>
    <row r="8" customFormat="false" ht="15" hidden="false" customHeight="false" outlineLevel="0" collapsed="false">
      <c r="A8" s="5" t="s">
        <v>5</v>
      </c>
      <c r="B8" s="4" t="s">
        <v>6</v>
      </c>
    </row>
    <row r="9" customFormat="false" ht="15" hidden="false" customHeight="false" outlineLevel="0" collapsed="false">
      <c r="A9" s="5" t="s">
        <v>7</v>
      </c>
      <c r="B9" s="4" t="s">
        <v>8</v>
      </c>
    </row>
    <row r="10" customFormat="false" ht="15" hidden="false" customHeight="false" outlineLevel="0" collapsed="false">
      <c r="A10" s="5" t="s">
        <v>9</v>
      </c>
      <c r="B10" s="4" t="s">
        <v>10</v>
      </c>
    </row>
    <row r="11" customFormat="false" ht="15" hidden="false" customHeight="false" outlineLevel="0" collapsed="false">
      <c r="A11" s="5" t="s">
        <v>11</v>
      </c>
      <c r="B11" s="4" t="s">
        <v>12</v>
      </c>
    </row>
    <row r="12" customFormat="false" ht="15" hidden="false" customHeight="false" outlineLevel="0" collapsed="false">
      <c r="A12" s="4"/>
      <c r="B12" s="4"/>
    </row>
    <row r="13" customFormat="false" ht="15" hidden="false" customHeight="false" outlineLevel="0" collapsed="false">
      <c r="A13" s="5" t="s">
        <v>13</v>
      </c>
      <c r="B13" s="4"/>
    </row>
    <row r="14" customFormat="false" ht="15" hidden="false" customHeight="false" outlineLevel="0" collapsed="false">
      <c r="A14" s="5" t="s">
        <v>14</v>
      </c>
      <c r="B14" s="4" t="s">
        <v>15</v>
      </c>
    </row>
    <row r="15" customFormat="false" ht="15" hidden="false" customHeight="false" outlineLevel="0" collapsed="false">
      <c r="A15" s="5" t="s">
        <v>16</v>
      </c>
      <c r="B15" s="4" t="s">
        <v>17</v>
      </c>
    </row>
    <row r="16" customFormat="false" ht="15" hidden="false" customHeight="false" outlineLevel="0" collapsed="false">
      <c r="A16" s="5" t="s">
        <v>18</v>
      </c>
      <c r="B16" s="4" t="s">
        <v>19</v>
      </c>
    </row>
    <row r="17" customFormat="false" ht="15" hidden="false" customHeight="false" outlineLevel="0" collapsed="false">
      <c r="A17" s="5" t="s">
        <v>20</v>
      </c>
      <c r="B17" s="4" t="s">
        <v>21</v>
      </c>
    </row>
    <row r="18" customFormat="false" ht="15" hidden="false" customHeight="false" outlineLevel="0" collapsed="false">
      <c r="A18" s="5" t="s">
        <v>22</v>
      </c>
      <c r="B18" s="4" t="s">
        <v>23</v>
      </c>
    </row>
    <row r="19" customFormat="false" ht="15" hidden="false" customHeight="false" outlineLevel="0" collapsed="false">
      <c r="A19" s="5" t="s">
        <v>24</v>
      </c>
      <c r="B19" s="4" t="s">
        <v>25</v>
      </c>
    </row>
    <row r="20" customFormat="false" ht="15" hidden="false" customHeight="false" outlineLevel="0" collapsed="false">
      <c r="A20" s="5" t="s">
        <v>26</v>
      </c>
      <c r="B20" s="4" t="s">
        <v>27</v>
      </c>
    </row>
    <row r="21" customFormat="false" ht="15" hidden="false" customHeight="false" outlineLevel="0" collapsed="false">
      <c r="A21" s="5" t="s">
        <v>28</v>
      </c>
      <c r="B21" s="4" t="s">
        <v>29</v>
      </c>
    </row>
    <row r="22" customFormat="false" ht="15" hidden="false" customHeight="false" outlineLevel="0" collapsed="false">
      <c r="A22" s="5" t="s">
        <v>30</v>
      </c>
      <c r="B22" s="4" t="s">
        <v>31</v>
      </c>
    </row>
    <row r="23" customFormat="false" ht="15" hidden="false" customHeight="false" outlineLevel="0" collapsed="false">
      <c r="A23" s="4"/>
      <c r="B23" s="4"/>
    </row>
    <row r="24" customFormat="false" ht="15" hidden="false" customHeight="false" outlineLevel="0" collapsed="false">
      <c r="A24" s="5" t="s">
        <v>32</v>
      </c>
      <c r="B24" s="4"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2"/>
    <col collapsed="false" customWidth="true" hidden="false" outlineLevel="0" max="3" min="3" style="0" width="80"/>
  </cols>
  <sheetData>
    <row r="1" customFormat="false" ht="17.35" hidden="false" customHeight="false" outlineLevel="0" collapsed="false">
      <c r="A1" s="1" t="s">
        <v>34</v>
      </c>
    </row>
    <row r="2" customFormat="false" ht="15" hidden="false" customHeight="false" outlineLevel="0" collapsed="false">
      <c r="A2" s="2" t="s">
        <v>35</v>
      </c>
    </row>
    <row r="4" customFormat="false" ht="15" hidden="false" customHeight="false" outlineLevel="0" collapsed="false">
      <c r="A4" s="6" t="s">
        <v>36</v>
      </c>
      <c r="B4" s="6" t="s">
        <v>37</v>
      </c>
      <c r="C4" s="6" t="s">
        <v>38</v>
      </c>
    </row>
    <row r="5" customFormat="false" ht="35.05" hidden="false" customHeight="false" outlineLevel="0" collapsed="false">
      <c r="A5" s="7" t="s">
        <v>39</v>
      </c>
      <c r="B5" s="8" t="s">
        <v>40</v>
      </c>
      <c r="C5" s="8" t="s">
        <v>41</v>
      </c>
    </row>
    <row r="6" customFormat="false" ht="23.85" hidden="false" customHeight="false" outlineLevel="0" collapsed="false">
      <c r="A6" s="9" t="s">
        <v>42</v>
      </c>
      <c r="B6" s="8" t="s">
        <v>43</v>
      </c>
      <c r="C6" s="8" t="s">
        <v>44</v>
      </c>
    </row>
    <row r="7" customFormat="false" ht="23.85" hidden="false" customHeight="false" outlineLevel="0" collapsed="false">
      <c r="A7" s="9" t="s">
        <v>45</v>
      </c>
      <c r="B7" s="8" t="s">
        <v>46</v>
      </c>
      <c r="C7" s="8" t="s">
        <v>47</v>
      </c>
    </row>
    <row r="8" customFormat="false" ht="23.85" hidden="false" customHeight="false" outlineLevel="0" collapsed="false">
      <c r="A8" s="10" t="s">
        <v>48</v>
      </c>
      <c r="B8" s="8" t="s">
        <v>49</v>
      </c>
      <c r="C8" s="8" t="s">
        <v>50</v>
      </c>
    </row>
    <row r="9" customFormat="false" ht="23.85" hidden="false" customHeight="false" outlineLevel="0" collapsed="false">
      <c r="A9" s="11" t="s">
        <v>51</v>
      </c>
      <c r="B9" s="8" t="s">
        <v>52</v>
      </c>
      <c r="C9" s="8"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65"/>
  </cols>
  <sheetData>
    <row r="1" customFormat="false" ht="17.35" hidden="false" customHeight="false" outlineLevel="0" collapsed="false">
      <c r="A1" s="1" t="s">
        <v>54</v>
      </c>
    </row>
    <row r="2" customFormat="false" ht="15" hidden="false" customHeight="false" outlineLevel="0" collapsed="false">
      <c r="A2" s="2" t="s">
        <v>55</v>
      </c>
    </row>
    <row r="4" customFormat="false" ht="15" hidden="false" customHeight="false" outlineLevel="0" collapsed="false">
      <c r="A4" s="6" t="s">
        <v>26</v>
      </c>
      <c r="B4" s="6" t="s">
        <v>56</v>
      </c>
      <c r="C4" s="6" t="s">
        <v>57</v>
      </c>
    </row>
    <row r="5" customFormat="false" ht="35.05" hidden="false" customHeight="false" outlineLevel="0" collapsed="false">
      <c r="A5" s="7" t="s">
        <v>58</v>
      </c>
      <c r="B5" s="8" t="s">
        <v>59</v>
      </c>
      <c r="C5" s="8" t="s">
        <v>60</v>
      </c>
    </row>
    <row r="6" customFormat="false" ht="35.05" hidden="false" customHeight="false" outlineLevel="0" collapsed="false">
      <c r="A6" s="9" t="s">
        <v>61</v>
      </c>
      <c r="B6" s="8" t="s">
        <v>62</v>
      </c>
      <c r="C6" s="8" t="s">
        <v>63</v>
      </c>
    </row>
    <row r="7" customFormat="false" ht="23.85" hidden="false" customHeight="false" outlineLevel="0" collapsed="false">
      <c r="A7" s="10" t="s">
        <v>64</v>
      </c>
      <c r="B7" s="8" t="s">
        <v>65</v>
      </c>
      <c r="C7" s="8" t="s">
        <v>66</v>
      </c>
    </row>
    <row r="8" customFormat="false" ht="23.85" hidden="false" customHeight="false" outlineLevel="0" collapsed="false">
      <c r="A8" s="11" t="s">
        <v>67</v>
      </c>
      <c r="B8" s="8" t="s">
        <v>68</v>
      </c>
      <c r="C8" s="8"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20"/>
    <col collapsed="false" customWidth="true" hidden="false" outlineLevel="0" max="4" min="4" style="0" width="16"/>
    <col collapsed="false" customWidth="true" hidden="false" outlineLevel="0" max="5" min="5" style="0" width="24"/>
    <col collapsed="false" customWidth="true" hidden="false" outlineLevel="0" max="6" min="6" style="0" width="22"/>
    <col collapsed="false" customWidth="true" hidden="false" outlineLevel="0" max="7" min="7" style="0" width="12"/>
    <col collapsed="false" customWidth="true" hidden="false" outlineLevel="0" max="8" min="8" style="0" width="14"/>
    <col collapsed="false" customWidth="true" hidden="false" outlineLevel="0" max="9" min="9" style="0" width="40"/>
  </cols>
  <sheetData>
    <row r="1" customFormat="false" ht="23.85" hidden="false" customHeight="false" outlineLevel="0" collapsed="false">
      <c r="A1" s="12" t="s">
        <v>14</v>
      </c>
      <c r="B1" s="12" t="s">
        <v>16</v>
      </c>
      <c r="C1" s="12" t="s">
        <v>18</v>
      </c>
      <c r="D1" s="12" t="s">
        <v>20</v>
      </c>
      <c r="E1" s="12" t="s">
        <v>22</v>
      </c>
      <c r="F1" s="12" t="s">
        <v>24</v>
      </c>
      <c r="G1" s="12" t="s">
        <v>26</v>
      </c>
      <c r="H1" s="12" t="s">
        <v>28</v>
      </c>
      <c r="I1" s="12" t="s">
        <v>30</v>
      </c>
    </row>
    <row r="2" customFormat="false" ht="23.85" hidden="false" customHeight="false" outlineLevel="0" collapsed="false">
      <c r="A2" s="8" t="s">
        <v>70</v>
      </c>
      <c r="B2" s="8" t="s">
        <v>71</v>
      </c>
      <c r="C2" s="8" t="s">
        <v>72</v>
      </c>
      <c r="D2" s="8" t="s">
        <v>73</v>
      </c>
      <c r="E2" s="8" t="s">
        <v>74</v>
      </c>
      <c r="F2" s="13" t="s">
        <v>42</v>
      </c>
      <c r="G2" s="14" t="s">
        <v>58</v>
      </c>
      <c r="H2" s="15" t="s">
        <v>75</v>
      </c>
      <c r="I2" s="8" t="s">
        <v>76</v>
      </c>
    </row>
    <row r="3" customFormat="false" ht="15" hidden="false" customHeight="false" outlineLevel="0" collapsed="false">
      <c r="A3" s="8" t="s">
        <v>77</v>
      </c>
      <c r="B3" s="8" t="s">
        <v>78</v>
      </c>
      <c r="C3" s="8" t="s">
        <v>79</v>
      </c>
      <c r="D3" s="8" t="s">
        <v>73</v>
      </c>
      <c r="E3" s="8" t="s">
        <v>80</v>
      </c>
      <c r="F3" s="13" t="s">
        <v>42</v>
      </c>
      <c r="G3" s="14" t="s">
        <v>58</v>
      </c>
      <c r="H3" s="15" t="s">
        <v>75</v>
      </c>
      <c r="I3" s="8" t="s">
        <v>81</v>
      </c>
    </row>
    <row r="4" customFormat="false" ht="15" hidden="false" customHeight="false" outlineLevel="0" collapsed="false">
      <c r="A4" s="8" t="s">
        <v>82</v>
      </c>
      <c r="B4" s="8" t="s">
        <v>83</v>
      </c>
      <c r="C4" s="8" t="s">
        <v>84</v>
      </c>
      <c r="D4" s="8" t="s">
        <v>85</v>
      </c>
      <c r="E4" s="8" t="s">
        <v>74</v>
      </c>
      <c r="F4" s="13" t="s">
        <v>42</v>
      </c>
      <c r="G4" s="14" t="s">
        <v>58</v>
      </c>
      <c r="H4" s="15" t="s">
        <v>75</v>
      </c>
      <c r="I4" s="8" t="s">
        <v>86</v>
      </c>
    </row>
    <row r="5" customFormat="false" ht="23.85" hidden="false" customHeight="false" outlineLevel="0" collapsed="false">
      <c r="A5" s="8" t="s">
        <v>87</v>
      </c>
      <c r="B5" s="8" t="s">
        <v>88</v>
      </c>
      <c r="C5" s="8" t="s">
        <v>89</v>
      </c>
      <c r="D5" s="8" t="s">
        <v>90</v>
      </c>
      <c r="E5" s="8" t="s">
        <v>91</v>
      </c>
      <c r="F5" s="16" t="s">
        <v>39</v>
      </c>
      <c r="G5" s="14" t="s">
        <v>58</v>
      </c>
      <c r="H5" s="15" t="s">
        <v>75</v>
      </c>
      <c r="I5" s="8" t="s">
        <v>92</v>
      </c>
    </row>
    <row r="6" customFormat="false" ht="23.85" hidden="false" customHeight="false" outlineLevel="0" collapsed="false">
      <c r="A6" s="8" t="s">
        <v>93</v>
      </c>
      <c r="B6" s="8" t="s">
        <v>94</v>
      </c>
      <c r="C6" s="8" t="s">
        <v>95</v>
      </c>
      <c r="D6" s="8" t="s">
        <v>96</v>
      </c>
      <c r="E6" s="8" t="s">
        <v>97</v>
      </c>
      <c r="F6" s="13" t="s">
        <v>98</v>
      </c>
      <c r="G6" s="14" t="s">
        <v>58</v>
      </c>
      <c r="H6" s="15" t="s">
        <v>75</v>
      </c>
      <c r="I6" s="8" t="s">
        <v>99</v>
      </c>
    </row>
    <row r="7" customFormat="false" ht="15" hidden="false" customHeight="false" outlineLevel="0" collapsed="false">
      <c r="A7" s="8" t="s">
        <v>100</v>
      </c>
      <c r="B7" s="8" t="s">
        <v>101</v>
      </c>
      <c r="C7" s="8" t="s">
        <v>95</v>
      </c>
      <c r="D7" s="8" t="s">
        <v>96</v>
      </c>
      <c r="E7" s="8" t="s">
        <v>102</v>
      </c>
      <c r="F7" s="16" t="s">
        <v>39</v>
      </c>
      <c r="G7" s="14" t="s">
        <v>58</v>
      </c>
      <c r="H7" s="15" t="s">
        <v>75</v>
      </c>
      <c r="I7" s="8" t="s">
        <v>103</v>
      </c>
    </row>
    <row r="8" customFormat="false" ht="23.85" hidden="false" customHeight="false" outlineLevel="0" collapsed="false">
      <c r="A8" s="8" t="s">
        <v>104</v>
      </c>
      <c r="B8" s="8" t="s">
        <v>105</v>
      </c>
      <c r="C8" s="8" t="s">
        <v>106</v>
      </c>
      <c r="D8" s="8" t="s">
        <v>85</v>
      </c>
      <c r="E8" s="8" t="s">
        <v>107</v>
      </c>
      <c r="F8" s="16" t="s">
        <v>39</v>
      </c>
      <c r="G8" s="14" t="s">
        <v>58</v>
      </c>
      <c r="H8" s="15" t="s">
        <v>75</v>
      </c>
      <c r="I8" s="8" t="s">
        <v>108</v>
      </c>
    </row>
    <row r="9" customFormat="false" ht="23.85" hidden="false" customHeight="false" outlineLevel="0" collapsed="false">
      <c r="A9" s="8" t="s">
        <v>109</v>
      </c>
      <c r="B9" s="8" t="s">
        <v>110</v>
      </c>
      <c r="C9" s="8" t="s">
        <v>84</v>
      </c>
      <c r="D9" s="8" t="s">
        <v>96</v>
      </c>
      <c r="E9" s="8" t="s">
        <v>111</v>
      </c>
      <c r="F9" s="13" t="s">
        <v>42</v>
      </c>
      <c r="G9" s="14" t="s">
        <v>58</v>
      </c>
      <c r="H9" s="15" t="s">
        <v>75</v>
      </c>
      <c r="I9" s="8" t="s">
        <v>112</v>
      </c>
    </row>
    <row r="10" customFormat="false" ht="23.85" hidden="false" customHeight="false" outlineLevel="0" collapsed="false">
      <c r="A10" s="8" t="s">
        <v>113</v>
      </c>
      <c r="B10" s="8" t="s">
        <v>114</v>
      </c>
      <c r="C10" s="8" t="s">
        <v>72</v>
      </c>
      <c r="D10" s="8" t="s">
        <v>73</v>
      </c>
      <c r="E10" s="8" t="s">
        <v>107</v>
      </c>
      <c r="F10" s="16" t="s">
        <v>39</v>
      </c>
      <c r="G10" s="14" t="s">
        <v>58</v>
      </c>
      <c r="H10" s="15" t="s">
        <v>75</v>
      </c>
      <c r="I10" s="8" t="s">
        <v>115</v>
      </c>
    </row>
    <row r="11" customFormat="false" ht="23.85" hidden="false" customHeight="false" outlineLevel="0" collapsed="false">
      <c r="A11" s="8" t="s">
        <v>116</v>
      </c>
      <c r="B11" s="8" t="s">
        <v>117</v>
      </c>
      <c r="C11" s="8" t="s">
        <v>95</v>
      </c>
      <c r="D11" s="8" t="s">
        <v>73</v>
      </c>
      <c r="E11" s="8" t="s">
        <v>118</v>
      </c>
      <c r="F11" s="13" t="s">
        <v>45</v>
      </c>
      <c r="G11" s="17" t="s">
        <v>61</v>
      </c>
      <c r="H11" s="15" t="s">
        <v>75</v>
      </c>
      <c r="I11" s="8" t="s">
        <v>119</v>
      </c>
    </row>
    <row r="12" customFormat="false" ht="15" hidden="false" customHeight="false" outlineLevel="0" collapsed="false">
      <c r="A12" s="8" t="s">
        <v>120</v>
      </c>
      <c r="B12" s="8" t="s">
        <v>121</v>
      </c>
      <c r="C12" s="8" t="s">
        <v>122</v>
      </c>
      <c r="D12" s="8" t="s">
        <v>73</v>
      </c>
      <c r="E12" s="8" t="s">
        <v>118</v>
      </c>
      <c r="F12" s="13" t="s">
        <v>98</v>
      </c>
      <c r="G12" s="17" t="s">
        <v>61</v>
      </c>
      <c r="H12" s="15" t="s">
        <v>75</v>
      </c>
      <c r="I12" s="8" t="s">
        <v>123</v>
      </c>
    </row>
    <row r="13" customFormat="false" ht="23.85" hidden="false" customHeight="false" outlineLevel="0" collapsed="false">
      <c r="A13" s="8" t="s">
        <v>124</v>
      </c>
      <c r="B13" s="8" t="s">
        <v>125</v>
      </c>
      <c r="C13" s="8" t="s">
        <v>95</v>
      </c>
      <c r="D13" s="8" t="s">
        <v>126</v>
      </c>
      <c r="E13" s="8" t="s">
        <v>127</v>
      </c>
      <c r="F13" s="13" t="s">
        <v>42</v>
      </c>
      <c r="G13" s="17" t="s">
        <v>61</v>
      </c>
      <c r="H13" s="15" t="s">
        <v>75</v>
      </c>
      <c r="I13" s="8" t="s">
        <v>128</v>
      </c>
    </row>
    <row r="14" customFormat="false" ht="23.85" hidden="false" customHeight="false" outlineLevel="0" collapsed="false">
      <c r="A14" s="8" t="s">
        <v>129</v>
      </c>
      <c r="B14" s="8" t="s">
        <v>130</v>
      </c>
      <c r="C14" s="8" t="s">
        <v>95</v>
      </c>
      <c r="D14" s="8" t="s">
        <v>131</v>
      </c>
      <c r="E14" s="8" t="s">
        <v>132</v>
      </c>
      <c r="F14" s="16" t="s">
        <v>39</v>
      </c>
      <c r="G14" s="17" t="s">
        <v>61</v>
      </c>
      <c r="H14" s="15" t="s">
        <v>75</v>
      </c>
      <c r="I14" s="8" t="s">
        <v>133</v>
      </c>
    </row>
    <row r="15" customFormat="false" ht="23.85" hidden="false" customHeight="false" outlineLevel="0" collapsed="false">
      <c r="A15" s="8" t="s">
        <v>134</v>
      </c>
      <c r="B15" s="8" t="s">
        <v>135</v>
      </c>
      <c r="C15" s="8" t="s">
        <v>72</v>
      </c>
      <c r="D15" s="8" t="s">
        <v>136</v>
      </c>
      <c r="E15" s="8" t="s">
        <v>74</v>
      </c>
      <c r="F15" s="18" t="s">
        <v>48</v>
      </c>
      <c r="G15" s="17" t="s">
        <v>61</v>
      </c>
      <c r="H15" s="15" t="s">
        <v>75</v>
      </c>
      <c r="I15" s="8" t="s">
        <v>137</v>
      </c>
    </row>
    <row r="16" customFormat="false" ht="15" hidden="false" customHeight="false" outlineLevel="0" collapsed="false">
      <c r="A16" s="8" t="s">
        <v>138</v>
      </c>
      <c r="B16" s="8" t="s">
        <v>139</v>
      </c>
      <c r="C16" s="8" t="s">
        <v>95</v>
      </c>
      <c r="D16" s="8" t="s">
        <v>136</v>
      </c>
      <c r="E16" s="8" t="s">
        <v>140</v>
      </c>
      <c r="F16" s="18" t="s">
        <v>48</v>
      </c>
      <c r="G16" s="17" t="s">
        <v>61</v>
      </c>
      <c r="H16" s="15" t="s">
        <v>75</v>
      </c>
      <c r="I16" s="8" t="s">
        <v>141</v>
      </c>
    </row>
    <row r="17" customFormat="false" ht="15" hidden="false" customHeight="false" outlineLevel="0" collapsed="false">
      <c r="A17" s="8" t="s">
        <v>142</v>
      </c>
      <c r="B17" s="8" t="s">
        <v>143</v>
      </c>
      <c r="C17" s="8" t="s">
        <v>144</v>
      </c>
      <c r="D17" s="8" t="s">
        <v>96</v>
      </c>
      <c r="E17" s="8" t="s">
        <v>107</v>
      </c>
      <c r="F17" s="18" t="s">
        <v>48</v>
      </c>
      <c r="G17" s="17" t="s">
        <v>61</v>
      </c>
      <c r="H17" s="15" t="s">
        <v>75</v>
      </c>
      <c r="I17" s="8" t="s">
        <v>145</v>
      </c>
    </row>
    <row r="18" customFormat="false" ht="23.85" hidden="false" customHeight="false" outlineLevel="0" collapsed="false">
      <c r="A18" s="8" t="s">
        <v>146</v>
      </c>
      <c r="B18" s="8" t="s">
        <v>147</v>
      </c>
      <c r="C18" s="8" t="s">
        <v>148</v>
      </c>
      <c r="D18" s="8" t="s">
        <v>96</v>
      </c>
      <c r="E18" s="8" t="s">
        <v>149</v>
      </c>
      <c r="F18" s="13" t="s">
        <v>98</v>
      </c>
      <c r="G18" s="17" t="s">
        <v>61</v>
      </c>
      <c r="H18" s="15" t="s">
        <v>75</v>
      </c>
      <c r="I18" s="8" t="s">
        <v>150</v>
      </c>
    </row>
    <row r="19" customFormat="false" ht="23.85" hidden="false" customHeight="false" outlineLevel="0" collapsed="false">
      <c r="A19" s="8" t="s">
        <v>151</v>
      </c>
      <c r="B19" s="8" t="s">
        <v>152</v>
      </c>
      <c r="C19" s="8" t="s">
        <v>106</v>
      </c>
      <c r="D19" s="8" t="s">
        <v>73</v>
      </c>
      <c r="E19" s="8" t="s">
        <v>153</v>
      </c>
      <c r="F19" s="18" t="s">
        <v>154</v>
      </c>
      <c r="G19" s="19" t="s">
        <v>64</v>
      </c>
      <c r="H19" s="15" t="s">
        <v>75</v>
      </c>
      <c r="I19" s="8" t="s">
        <v>155</v>
      </c>
    </row>
    <row r="20" customFormat="false" ht="23.85" hidden="false" customHeight="false" outlineLevel="0" collapsed="false">
      <c r="A20" s="8" t="s">
        <v>156</v>
      </c>
      <c r="B20" s="8" t="s">
        <v>157</v>
      </c>
      <c r="C20" s="8" t="s">
        <v>95</v>
      </c>
      <c r="D20" s="8" t="s">
        <v>96</v>
      </c>
      <c r="E20" s="8" t="s">
        <v>158</v>
      </c>
      <c r="F20" s="18" t="s">
        <v>48</v>
      </c>
      <c r="G20" s="19" t="s">
        <v>64</v>
      </c>
      <c r="H20" s="15" t="s">
        <v>75</v>
      </c>
      <c r="I20" s="8" t="s">
        <v>159</v>
      </c>
    </row>
    <row r="21" customFormat="false" ht="15" hidden="false" customHeight="false" outlineLevel="0" collapsed="false">
      <c r="A21" s="8" t="s">
        <v>160</v>
      </c>
      <c r="B21" s="8" t="s">
        <v>161</v>
      </c>
      <c r="C21" s="8" t="s">
        <v>95</v>
      </c>
      <c r="D21" s="8" t="s">
        <v>96</v>
      </c>
      <c r="E21" s="8" t="s">
        <v>162</v>
      </c>
      <c r="F21" s="18" t="s">
        <v>48</v>
      </c>
      <c r="G21" s="19" t="s">
        <v>64</v>
      </c>
      <c r="H21" s="15" t="s">
        <v>75</v>
      </c>
      <c r="I21" s="8" t="s">
        <v>163</v>
      </c>
    </row>
    <row r="22" customFormat="false" ht="23.85" hidden="false" customHeight="false" outlineLevel="0" collapsed="false">
      <c r="A22" s="8" t="s">
        <v>164</v>
      </c>
      <c r="B22" s="8" t="s">
        <v>165</v>
      </c>
      <c r="C22" s="8" t="s">
        <v>144</v>
      </c>
      <c r="D22" s="8" t="s">
        <v>166</v>
      </c>
      <c r="E22" s="8" t="s">
        <v>167</v>
      </c>
      <c r="F22" s="18" t="s">
        <v>48</v>
      </c>
      <c r="G22" s="20" t="s">
        <v>67</v>
      </c>
      <c r="H22" s="15" t="s">
        <v>75</v>
      </c>
      <c r="I22" s="8" t="s">
        <v>168</v>
      </c>
    </row>
    <row r="23" customFormat="false" ht="15" hidden="false" customHeight="false" outlineLevel="0" collapsed="false">
      <c r="A23" s="8" t="s">
        <v>169</v>
      </c>
      <c r="B23" s="8" t="s">
        <v>170</v>
      </c>
      <c r="C23" s="8" t="s">
        <v>171</v>
      </c>
      <c r="D23" s="8" t="s">
        <v>96</v>
      </c>
      <c r="E23" s="8" t="s">
        <v>167</v>
      </c>
      <c r="F23" s="18" t="s">
        <v>48</v>
      </c>
      <c r="G23" s="20" t="s">
        <v>67</v>
      </c>
      <c r="H23" s="15" t="s">
        <v>75</v>
      </c>
      <c r="I23" s="8" t="s">
        <v>172</v>
      </c>
    </row>
    <row r="24" customFormat="false" ht="23.85" hidden="false" customHeight="false" outlineLevel="0" collapsed="false">
      <c r="A24" s="8" t="s">
        <v>173</v>
      </c>
      <c r="B24" s="8" t="s">
        <v>174</v>
      </c>
      <c r="C24" s="8" t="s">
        <v>72</v>
      </c>
      <c r="D24" s="8" t="s">
        <v>175</v>
      </c>
      <c r="E24" s="8" t="s">
        <v>176</v>
      </c>
      <c r="F24" s="21" t="s">
        <v>51</v>
      </c>
      <c r="G24" s="20" t="s">
        <v>67</v>
      </c>
      <c r="H24" s="22" t="s">
        <v>177</v>
      </c>
      <c r="I24" s="8" t="s">
        <v>178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4"/>
    <col collapsed="false" customWidth="true" hidden="false" outlineLevel="0" max="4" min="4" style="0" width="16"/>
    <col collapsed="false" customWidth="true" hidden="false" outlineLevel="0" max="5" min="5" style="0" width="12"/>
  </cols>
  <sheetData>
    <row r="1" customFormat="false" ht="17.35" hidden="false" customHeight="false" outlineLevel="0" collapsed="false">
      <c r="A1" s="1" t="s">
        <v>179</v>
      </c>
    </row>
    <row r="2" customFormat="false" ht="15" hidden="false" customHeight="false" outlineLevel="0" collapsed="false">
      <c r="A2" s="2" t="s">
        <v>180</v>
      </c>
    </row>
    <row r="4" customFormat="false" ht="15" hidden="false" customHeight="false" outlineLevel="0" collapsed="false">
      <c r="A4" s="3" t="s">
        <v>181</v>
      </c>
      <c r="D4" s="3" t="s">
        <v>182</v>
      </c>
    </row>
    <row r="5" customFormat="false" ht="15" hidden="false" customHeight="false" outlineLevel="0" collapsed="false">
      <c r="A5" s="6" t="s">
        <v>36</v>
      </c>
      <c r="B5" s="6" t="s">
        <v>183</v>
      </c>
      <c r="D5" s="23" t="s">
        <v>184</v>
      </c>
      <c r="E5" s="24" t="n">
        <f aca="false">COUNTIF('Asset Inventory'!H:H,"Yes")</f>
        <v>22</v>
      </c>
    </row>
    <row r="6" customFormat="false" ht="15" hidden="false" customHeight="false" outlineLevel="0" collapsed="false">
      <c r="A6" s="25" t="s">
        <v>39</v>
      </c>
      <c r="B6" s="15" t="n">
        <f aca="false">COUNTIF('Asset Inventory'!F:F,"Restricted")</f>
        <v>5</v>
      </c>
      <c r="D6" s="23" t="s">
        <v>185</v>
      </c>
      <c r="E6" s="24" t="n">
        <f aca="false">COUNTIF('Asset Inventory'!H:H,"No")</f>
        <v>1</v>
      </c>
    </row>
    <row r="7" customFormat="false" ht="15" hidden="false" customHeight="false" outlineLevel="0" collapsed="false">
      <c r="A7" s="25" t="s">
        <v>42</v>
      </c>
      <c r="B7" s="15" t="n">
        <f aca="false">COUNTIF('Asset Inventory'!F:F,"Confidential - PII")</f>
        <v>5</v>
      </c>
      <c r="D7" s="26" t="s">
        <v>186</v>
      </c>
      <c r="E7" s="27" t="n">
        <f aca="false">E5+E6</f>
        <v>23</v>
      </c>
    </row>
    <row r="8" customFormat="false" ht="15" hidden="false" customHeight="false" outlineLevel="0" collapsed="false">
      <c r="A8" s="25" t="s">
        <v>45</v>
      </c>
      <c r="B8" s="15" t="n">
        <f aca="false">COUNTIF('Asset Inventory'!F:F,"Confidential - IP")</f>
        <v>1</v>
      </c>
    </row>
    <row r="9" customFormat="false" ht="15" hidden="false" customHeight="false" outlineLevel="0" collapsed="false">
      <c r="A9" s="25" t="s">
        <v>98</v>
      </c>
      <c r="B9" s="15" t="n">
        <f aca="false">COUNTIF('Asset Inventory'!F:F,"Confidential")</f>
        <v>3</v>
      </c>
    </row>
    <row r="10" customFormat="false" ht="15" hidden="false" customHeight="false" outlineLevel="0" collapsed="false">
      <c r="A10" s="25" t="s">
        <v>48</v>
      </c>
      <c r="B10" s="15" t="n">
        <f aca="false">COUNTIF('Asset Inventory'!F:F,"Internal")</f>
        <v>7</v>
      </c>
    </row>
    <row r="11" customFormat="false" ht="15" hidden="false" customHeight="false" outlineLevel="0" collapsed="false">
      <c r="A11" s="25" t="s">
        <v>154</v>
      </c>
      <c r="B11" s="15" t="n">
        <f aca="false">COUNTIF('Asset Inventory'!F:F,"Internal (no prod data)")</f>
        <v>1</v>
      </c>
    </row>
    <row r="12" customFormat="false" ht="15" hidden="false" customHeight="false" outlineLevel="0" collapsed="false">
      <c r="A12" s="25" t="s">
        <v>51</v>
      </c>
      <c r="B12" s="15" t="n">
        <f aca="false">COUNTIF('Asset Inventory'!F:F,"Public")</f>
        <v>1</v>
      </c>
    </row>
    <row r="13" customFormat="false" ht="15" hidden="false" customHeight="false" outlineLevel="0" collapsed="false">
      <c r="A13" s="26" t="s">
        <v>186</v>
      </c>
      <c r="B13" s="27" t="n">
        <f aca="false">SUM(B6:B12)</f>
        <v>23</v>
      </c>
    </row>
    <row r="15" customFormat="false" ht="15" hidden="false" customHeight="false" outlineLevel="0" collapsed="false">
      <c r="A15" s="3" t="s">
        <v>187</v>
      </c>
    </row>
    <row r="16" customFormat="false" ht="15" hidden="false" customHeight="false" outlineLevel="0" collapsed="false">
      <c r="A16" s="6" t="s">
        <v>26</v>
      </c>
      <c r="B16" s="6" t="s">
        <v>183</v>
      </c>
    </row>
    <row r="17" customFormat="false" ht="15" hidden="false" customHeight="false" outlineLevel="0" collapsed="false">
      <c r="A17" s="28" t="s">
        <v>58</v>
      </c>
      <c r="B17" s="15" t="n">
        <f aca="false">COUNTIF('Asset Inventory'!G:G,"Critical")</f>
        <v>9</v>
      </c>
    </row>
    <row r="18" customFormat="false" ht="15" hidden="false" customHeight="false" outlineLevel="0" collapsed="false">
      <c r="A18" s="29" t="s">
        <v>61</v>
      </c>
      <c r="B18" s="15" t="n">
        <f aca="false">COUNTIF('Asset Inventory'!G:G,"High")</f>
        <v>8</v>
      </c>
    </row>
    <row r="19" customFormat="false" ht="15" hidden="false" customHeight="false" outlineLevel="0" collapsed="false">
      <c r="A19" s="30" t="s">
        <v>64</v>
      </c>
      <c r="B19" s="15" t="n">
        <f aca="false">COUNTIF('Asset Inventory'!G:G,"Medium")</f>
        <v>3</v>
      </c>
    </row>
    <row r="20" customFormat="false" ht="15" hidden="false" customHeight="false" outlineLevel="0" collapsed="false">
      <c r="A20" s="31" t="s">
        <v>67</v>
      </c>
      <c r="B20" s="15" t="n">
        <f aca="false">COUNTIF('Asset Inventory'!G:G,"Low")</f>
        <v>3</v>
      </c>
    </row>
    <row r="21" customFormat="false" ht="15" hidden="false" customHeight="false" outlineLevel="0" collapsed="false">
      <c r="A21" s="26" t="s">
        <v>186</v>
      </c>
      <c r="B21" s="27" t="n">
        <f aca="false">SUM(B17:B20)</f>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2026-07-28T15:47:29Z</dcterms:created>
  <dc:creator>openpyxl</dc:creator>
  <dc:description/>
  <dc:language>en-US</dc:language>
  <cp:lastModifiedBy/>
  <dcterms:modified xsi:type="dcterms:W3CDTF">2026-07-28T15:47:29Z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